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기전" sheetId="1" state="visible" r:id="rId1"/>
    <sheet name="월별지수" sheetId="2" state="visible" r:id="rId2"/>
    <sheet name="계절_월별" sheetId="3" state="visible" r:id="rId3"/>
    <sheet name="키워드지표" sheetId="4" state="visible" r:id="rId4"/>
    <sheet name="요약_진료과" sheetId="5" state="visible" r:id="rId5"/>
    <sheet name="요약_지역" sheetId="6" state="visible" r:id="rId6"/>
    <sheet name="수요검증" sheetId="7" state="visible" r:id="rId7"/>
    <sheet name="TOP3" sheetId="8" state="visible" r:id="rId8"/>
    <sheet name="매트릭스" sheetId="9" state="visible" r:id="rId9"/>
    <sheet name="계절지수" sheetId="10" state="visible" r:id="rId10"/>
    <sheet name="원자료" sheetId="11" state="visible" r:id="rId11"/>
  </sheets>
  <definedNames>
    <definedName name="_xlnm._FilterDatabase" localSheetId="3" hidden="1">'키워드지표'!$A$1:$L$84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;[Red]-0.0%;-"/>
    <numFmt numFmtId="166" formatCode="0.0%"/>
    <numFmt numFmtId="167" formatCode="0.0&quot;x&quot;"/>
    <numFmt numFmtId="168" formatCode="0&quot;월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0F5F52"/>
      <sz val="11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E9EDE9"/>
      </patternFill>
    </fill>
    <fill>
      <patternFill patternType="solid">
        <fgColor rgb="00F5F1E6"/>
      </patternFill>
    </fill>
  </fills>
  <borders count="2">
    <border>
      <left/>
      <right/>
      <top/>
      <bottom/>
      <diagonal/>
    </border>
    <border>
      <bottom style="thin">
        <color rgb="00D5DA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>
      <c r="A1" s="1" t="inlineStr">
        <is>
          <t>읽기 전에</t>
        </is>
      </c>
    </row>
    <row r="3">
      <c r="A3" s="2" t="inlineStr">
        <is>
          <t>제목</t>
        </is>
      </c>
      <c r="B3" s="3" t="inlineStr">
        <is>
          <t>전국 「지역명+진료과」 키워드 3년 검색수요 분석</t>
        </is>
      </c>
    </row>
    <row r="4">
      <c r="A4" s="2" t="inlineStr">
        <is>
          <t>출처</t>
        </is>
      </c>
      <c r="B4" s="3" t="inlineStr">
        <is>
          <t>네이버 데이터랩 검색어트렌드 API (PlayMCP NaverSearch-datalab_search)</t>
        </is>
      </c>
    </row>
    <row r="5">
      <c r="A5" s="2" t="inlineStr">
        <is>
          <t>대상 기간</t>
        </is>
      </c>
      <c r="B5" s="3" t="inlineStr">
        <is>
          <t>2023-09 ~ 2026-08 (36개월, 월간)</t>
        </is>
      </c>
    </row>
    <row r="6">
      <c r="A6" s="2" t="inlineStr">
        <is>
          <t>수집일</t>
        </is>
      </c>
      <c r="B6" s="3" t="inlineStr">
        <is>
          <t>2026-09-09</t>
        </is>
      </c>
    </row>
    <row r="7">
      <c r="A7" s="2" t="inlineStr">
        <is>
          <t>키워드 수</t>
        </is>
      </c>
      <c r="B7" s="3" t="inlineStr">
        <is>
          <t>83개 (API 요청 21회, 모든 요청에 앵커 「서울피부과」 동봉)</t>
        </is>
      </c>
    </row>
    <row r="9">
      <c r="A9" s="4" t="inlineStr">
        <is>
          <t>■ 단위 — 반드시 먼저 읽을 것</t>
        </is>
      </c>
    </row>
    <row r="10">
      <c r="B10" s="3" t="inlineStr">
        <is>
          <t>이 파일의 모든 수치는 「월간 검색량(회)」이 아니라 상대지수다.</t>
        </is>
      </c>
    </row>
    <row r="11">
      <c r="B11" s="3" t="inlineStr">
        <is>
          <t>데이터랩은 절대 검색 횟수를 공개하지 않고, 요청 안의 최댓값을 100으로 둔 비율만 준다.</t>
        </is>
      </c>
    </row>
    <row r="12">
      <c r="B12" s="3" t="inlineStr">
        <is>
          <t>기준: 앵커 「서울피부과」의 36개월 평균 = 100. 지수 200이면 서울피부과의 약 2배가 검색됐다는 뜻이다.</t>
        </is>
      </c>
    </row>
    <row r="13">
      <c r="B13" s="3" t="inlineStr">
        <is>
          <t>절대 조회수·입찰가가 필요하면 네이버 검색광고 키워드도구(월간검색수 PC/모바일)를 별도로 붙여야 한다.</t>
        </is>
      </c>
    </row>
    <row r="15">
      <c r="A15" s="4" t="inlineStr">
        <is>
          <t>■ 요청 간 스케일을 맞춘 방법</t>
        </is>
      </c>
    </row>
    <row r="16">
      <c r="B16" s="3" t="inlineStr">
        <is>
          <t>데이터랩은 요청마다 최댓값을 100으로 재조정하므로 요청이 다르면 값을 비교할 수 없다 (응답 = c × 실제검색량, c는 요청마다 다름).</t>
        </is>
      </c>
    </row>
    <row r="17">
      <c r="B17" s="3" t="inlineStr">
        <is>
          <t>21번의 요청 전부에 앵커 「서울피부과」를 한 자리 고정으로 넣고, 각 요청 응답을 그 요청의 앵커 36개월 평균으로 나눠 c를 소거했다.</t>
        </is>
      </c>
    </row>
    <row r="18">
      <c r="B18" s="3" t="inlineStr">
        <is>
          <t>결과: 지수 = 실제검색량 ÷ 서울피부과 평균검색량 × 100. 앵커 자신의 시계열은 보존되므로 수준 비교와 추이 비교를 동시에 할 수 있다.</t>
        </is>
      </c>
    </row>
    <row r="20">
      <c r="A20" s="4" t="inlineStr">
        <is>
          <t>■ 연차 구분</t>
        </is>
      </c>
    </row>
    <row r="21">
      <c r="B21" s="3" t="inlineStr">
        <is>
          <t>1년차 = 2023.09–2024.08  |  2년차 = 2024.09–2025.08  |  3년차 = 2025.09–2026.08  |  3년 변화 = 3년차 ÷ 1년차 − 1</t>
        </is>
      </c>
    </row>
    <row r="23">
      <c r="A23" s="4" t="inlineStr">
        <is>
          <t>■ 시트 구성</t>
        </is>
      </c>
    </row>
    <row r="24">
      <c r="B24" s="3" t="inlineStr">
        <is>
          <t>요약_진료과 / 요약_지역 — 7대 도시·7개 진료과 합산 (수식)</t>
        </is>
      </c>
    </row>
    <row r="25">
      <c r="B25" s="3" t="inlineStr">
        <is>
          <t>수요검증 — 「환자 검색 수요가 실제로 줄었나」에 답하는 4개 묶음 비교. 대조군은 의료와 무관한 기준선</t>
        </is>
      </c>
    </row>
    <row r="26">
      <c r="B26" s="3" t="inlineStr">
        <is>
          <t>TOP3 — 진료과별 대표 키워드 상위 3개</t>
        </is>
      </c>
    </row>
    <row r="27">
      <c r="B27" s="3" t="inlineStr">
        <is>
          <t>매트릭스 — 7개 진료과 × 7대 도시 규모·변화율</t>
        </is>
      </c>
    </row>
    <row r="28">
      <c r="B28" s="3" t="inlineStr">
        <is>
          <t>키워드지표 — 78개 키워드 전체 지표 (전부 월별지수를 참조하는 수식)</t>
        </is>
      </c>
    </row>
    <row r="29">
      <c r="B29" s="3" t="inlineStr">
        <is>
          <t>월별지수 — 78개 키워드 × 36개월 원지수 ★ 이 시트가 유일한 입력값이다</t>
        </is>
      </c>
    </row>
    <row r="30">
      <c r="B30" s="3" t="inlineStr">
        <is>
          <t>계절지수 / 계절_월별 — 월별 성수기·비수기 (연평균 100 기준)</t>
        </is>
      </c>
    </row>
    <row r="31">
      <c r="B31" s="3" t="inlineStr">
        <is>
          <t>원자료 — 데이터랩 API 원응답 98행 (앵커 포함, 정규화 전)</t>
        </is>
      </c>
    </row>
    <row r="33">
      <c r="A33" s="4" t="inlineStr">
        <is>
          <t>■ 편집 안내</t>
        </is>
      </c>
    </row>
    <row r="34">
      <c r="B34" s="3" t="inlineStr">
        <is>
          <t>값을 직접 넣는 시트는 「월별지수」와 「원자료」뿐이다. 나머지 시트는 전부 수식이므로 덮어쓰지 말 것.</t>
        </is>
      </c>
    </row>
    <row r="35">
      <c r="B35" s="3" t="inlineStr">
        <is>
          <t>키워드를 추가하려면 월별지수 맨 아래에 행을 추가하고 키워드지표의 마지막 행 수식을 아래로 복사하면 된다.</t>
        </is>
      </c>
    </row>
    <row r="37">
      <c r="A37" s="4" t="inlineStr">
        <is>
          <t>■ 한계</t>
        </is>
      </c>
    </row>
    <row r="38">
      <c r="B38" s="3" t="inlineStr">
        <is>
          <t>① 절대 검색량이 아니다.  ② PC+모바일 합산·전 연령/성별 값이라 세그먼트 분해 불가.</t>
        </is>
      </c>
    </row>
    <row r="39">
      <c r="B39" s="3" t="inlineStr">
        <is>
          <t>③ 「광주」는 광주광역시와 경기 광주시가 섞인다. 광주 수치는 별도 검증 후 사용을 권한다.</t>
        </is>
      </c>
    </row>
    <row r="40">
      <c r="B40" s="3" t="inlineStr">
        <is>
          <t>④ 지역명 키워드는 표본이 작아 단발 이슈에 크게 흔들린다 (키워드지표의 변동계수·스파이크 열로 확인).</t>
        </is>
      </c>
    </row>
    <row r="41">
      <c r="B41" s="3" t="inlineStr">
        <is>
          <t>⑤ 데이터랩은 일정 기준 미만 검색량을 0으로 처리하므로 초소형 키워드는 과소 집계될 수 있다.</t>
        </is>
      </c>
    </row>
    <row r="42">
      <c r="B42" s="3" t="inlineStr">
        <is>
          <t>⑥ 검색 수요만 다루며 경쟁 강도·입찰가·전환율·실제 내원은 포함하지 않는다.</t>
        </is>
      </c>
    </row>
    <row r="43">
      <c r="B43" s="3" t="inlineStr">
        <is>
          <t>⑦ 데이터랩 지수가 네이버 전체 트래픽 변화를 보정하는지는 공식 문서로 확인하지 못했다(문서 접근 불가).</t>
        </is>
      </c>
    </row>
    <row r="44">
      <c r="B44" s="3" t="inlineStr">
        <is>
          <t xml:space="preserve">   「수요검증」 시트의 대조군(날씨·지하철·환율·로또)이 그 확인을 대신한 간접 검증이다.</t>
        </is>
      </c>
    </row>
    <row r="46">
      <c r="A46" s="4" t="inlineStr">
        <is>
          <t>■ 의료광고법</t>
        </is>
      </c>
    </row>
    <row r="47">
      <c r="B47" s="3" t="inlineStr">
        <is>
          <t>이 문서는 검색 수요 통계만 다루며 치료 효과·전후 비교·최상급 표현을 포함하지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>
      <c r="A1" s="5" t="inlineStr">
        <is>
          <t>키워드</t>
        </is>
      </c>
      <c r="B1" s="5" t="inlineStr">
        <is>
          <t>분류</t>
        </is>
      </c>
      <c r="C1" s="5" t="inlineStr">
        <is>
          <t>2023-09</t>
        </is>
      </c>
      <c r="D1" s="5" t="inlineStr">
        <is>
          <t>2023-10</t>
        </is>
      </c>
      <c r="E1" s="5" t="inlineStr">
        <is>
          <t>2023-11</t>
        </is>
      </c>
      <c r="F1" s="5" t="inlineStr">
        <is>
          <t>2023-12</t>
        </is>
      </c>
      <c r="G1" s="5" t="inlineStr">
        <is>
          <t>2024-01</t>
        </is>
      </c>
      <c r="H1" s="5" t="inlineStr">
        <is>
          <t>2024-02</t>
        </is>
      </c>
      <c r="I1" s="5" t="inlineStr">
        <is>
          <t>2024-03</t>
        </is>
      </c>
      <c r="J1" s="5" t="inlineStr">
        <is>
          <t>2024-04</t>
        </is>
      </c>
      <c r="K1" s="5" t="inlineStr">
        <is>
          <t>2024-05</t>
        </is>
      </c>
      <c r="L1" s="5" t="inlineStr">
        <is>
          <t>2024-06</t>
        </is>
      </c>
      <c r="M1" s="5" t="inlineStr">
        <is>
          <t>2024-07</t>
        </is>
      </c>
      <c r="N1" s="5" t="inlineStr">
        <is>
          <t>2024-08</t>
        </is>
      </c>
      <c r="O1" s="5" t="inlineStr">
        <is>
          <t>2024-09</t>
        </is>
      </c>
      <c r="P1" s="5" t="inlineStr">
        <is>
          <t>2024-10</t>
        </is>
      </c>
      <c r="Q1" s="5" t="inlineStr">
        <is>
          <t>2024-11</t>
        </is>
      </c>
      <c r="R1" s="5" t="inlineStr">
        <is>
          <t>2024-12</t>
        </is>
      </c>
      <c r="S1" s="5" t="inlineStr">
        <is>
          <t>2025-01</t>
        </is>
      </c>
      <c r="T1" s="5" t="inlineStr">
        <is>
          <t>2025-02</t>
        </is>
      </c>
      <c r="U1" s="5" t="inlineStr">
        <is>
          <t>2025-03</t>
        </is>
      </c>
      <c r="V1" s="5" t="inlineStr">
        <is>
          <t>2025-04</t>
        </is>
      </c>
      <c r="W1" s="5" t="inlineStr">
        <is>
          <t>2025-05</t>
        </is>
      </c>
      <c r="X1" s="5" t="inlineStr">
        <is>
          <t>2025-06</t>
        </is>
      </c>
      <c r="Y1" s="5" t="inlineStr">
        <is>
          <t>2025-07</t>
        </is>
      </c>
      <c r="Z1" s="5" t="inlineStr">
        <is>
          <t>2025-08</t>
        </is>
      </c>
      <c r="AA1" s="5" t="inlineStr">
        <is>
          <t>2025-09</t>
        </is>
      </c>
      <c r="AB1" s="5" t="inlineStr">
        <is>
          <t>2025-10</t>
        </is>
      </c>
      <c r="AC1" s="5" t="inlineStr">
        <is>
          <t>2025-11</t>
        </is>
      </c>
      <c r="AD1" s="5" t="inlineStr">
        <is>
          <t>2025-12</t>
        </is>
      </c>
      <c r="AE1" s="5" t="inlineStr">
        <is>
          <t>2026-01</t>
        </is>
      </c>
      <c r="AF1" s="5" t="inlineStr">
        <is>
          <t>2026-02</t>
        </is>
      </c>
      <c r="AG1" s="5" t="inlineStr">
        <is>
          <t>2026-03</t>
        </is>
      </c>
      <c r="AH1" s="5" t="inlineStr">
        <is>
          <t>2026-04</t>
        </is>
      </c>
      <c r="AI1" s="5" t="inlineStr">
        <is>
          <t>2026-05</t>
        </is>
      </c>
      <c r="AJ1" s="5" t="inlineStr">
        <is>
          <t>2026-06</t>
        </is>
      </c>
      <c r="AK1" s="5" t="inlineStr">
        <is>
          <t>2026-07</t>
        </is>
      </c>
      <c r="AL1" s="5" t="inlineStr">
        <is>
          <t>2026-08</t>
        </is>
      </c>
    </row>
    <row r="2">
      <c r="A2" s="3" t="inlineStr">
        <is>
          <t>서울치과</t>
        </is>
      </c>
      <c r="B2" s="3" t="inlineStr">
        <is>
          <t>지역명+진료과</t>
        </is>
      </c>
      <c r="C2" s="6" t="n">
        <v>85.23999999999999</v>
      </c>
      <c r="D2" s="6" t="n">
        <v>95.54000000000001</v>
      </c>
      <c r="E2" s="6" t="n">
        <v>89.31999999999999</v>
      </c>
      <c r="F2" s="6" t="n">
        <v>95.56</v>
      </c>
      <c r="G2" s="6" t="n">
        <v>104.76</v>
      </c>
      <c r="H2" s="6" t="n">
        <v>97.13</v>
      </c>
      <c r="I2" s="6" t="n">
        <v>92.54000000000001</v>
      </c>
      <c r="J2" s="6" t="n">
        <v>91.95999999999999</v>
      </c>
      <c r="K2" s="6" t="n">
        <v>100.19</v>
      </c>
      <c r="L2" s="6" t="n">
        <v>87.33</v>
      </c>
      <c r="M2" s="6" t="n">
        <v>97.09999999999999</v>
      </c>
      <c r="N2" s="6" t="n">
        <v>97.55</v>
      </c>
      <c r="O2" s="6" t="n">
        <v>81.42</v>
      </c>
      <c r="P2" s="6" t="n">
        <v>81.95</v>
      </c>
      <c r="Q2" s="6" t="n">
        <v>89.01000000000001</v>
      </c>
      <c r="R2" s="6" t="n">
        <v>91.79000000000001</v>
      </c>
      <c r="S2" s="6" t="n">
        <v>93.75</v>
      </c>
      <c r="T2" s="6" t="n">
        <v>93.76000000000001</v>
      </c>
      <c r="U2" s="6" t="n">
        <v>94.15000000000001</v>
      </c>
      <c r="V2" s="6" t="n">
        <v>81.54000000000001</v>
      </c>
      <c r="W2" s="6" t="n">
        <v>83.91</v>
      </c>
      <c r="X2" s="6" t="n">
        <v>78.11</v>
      </c>
      <c r="Y2" s="6" t="n">
        <v>86.38</v>
      </c>
      <c r="Z2" s="6" t="n">
        <v>82.41</v>
      </c>
      <c r="AA2" s="6" t="n">
        <v>73.59999999999999</v>
      </c>
      <c r="AB2" s="6" t="n">
        <v>76.52</v>
      </c>
      <c r="AC2" s="6" t="n">
        <v>69.34999999999999</v>
      </c>
      <c r="AD2" s="6" t="n">
        <v>87.81</v>
      </c>
      <c r="AE2" s="6" t="n">
        <v>90.47</v>
      </c>
      <c r="AF2" s="6" t="n">
        <v>78.75</v>
      </c>
      <c r="AG2" s="6" t="n">
        <v>81</v>
      </c>
      <c r="AH2" s="6" t="n">
        <v>72.59999999999999</v>
      </c>
      <c r="AI2" s="6" t="n">
        <v>80.13</v>
      </c>
      <c r="AJ2" s="6" t="n">
        <v>76.53</v>
      </c>
      <c r="AK2" s="6" t="n">
        <v>82.38</v>
      </c>
      <c r="AL2" s="6" t="n">
        <v>86.98999999999999</v>
      </c>
    </row>
    <row r="3">
      <c r="A3" s="3" t="inlineStr">
        <is>
          <t>부산치과</t>
        </is>
      </c>
      <c r="B3" s="3" t="inlineStr">
        <is>
          <t>지역명+진료과</t>
        </is>
      </c>
      <c r="C3" s="6" t="n">
        <v>45.59</v>
      </c>
      <c r="D3" s="6" t="n">
        <v>45.5</v>
      </c>
      <c r="E3" s="6" t="n">
        <v>72.2</v>
      </c>
      <c r="F3" s="6" t="n">
        <v>104.82</v>
      </c>
      <c r="G3" s="6" t="n">
        <v>129.75</v>
      </c>
      <c r="H3" s="6" t="n">
        <v>100.91</v>
      </c>
      <c r="I3" s="6" t="n">
        <v>112.55</v>
      </c>
      <c r="J3" s="6" t="n">
        <v>197.73</v>
      </c>
      <c r="K3" s="6" t="n">
        <v>127.18</v>
      </c>
      <c r="L3" s="6" t="n">
        <v>76.29000000000001</v>
      </c>
      <c r="M3" s="6" t="n">
        <v>94.34999999999999</v>
      </c>
      <c r="N3" s="6" t="n">
        <v>86.53</v>
      </c>
      <c r="O3" s="6" t="n">
        <v>68.42</v>
      </c>
      <c r="P3" s="6" t="n">
        <v>51.43</v>
      </c>
      <c r="Q3" s="6" t="n">
        <v>57.41</v>
      </c>
      <c r="R3" s="6" t="n">
        <v>83.7</v>
      </c>
      <c r="S3" s="6" t="n">
        <v>60.24</v>
      </c>
      <c r="T3" s="6" t="n">
        <v>75.73</v>
      </c>
      <c r="U3" s="6" t="n">
        <v>154.73</v>
      </c>
      <c r="V3" s="6" t="n">
        <v>105.46</v>
      </c>
      <c r="W3" s="6" t="n">
        <v>78.69</v>
      </c>
      <c r="X3" s="6" t="n">
        <v>60.49</v>
      </c>
      <c r="Y3" s="6" t="n">
        <v>232.01</v>
      </c>
      <c r="Z3" s="6" t="n">
        <v>135</v>
      </c>
      <c r="AA3" s="6" t="n">
        <v>96.73</v>
      </c>
      <c r="AB3" s="6" t="n">
        <v>64.04000000000001</v>
      </c>
      <c r="AC3" s="6" t="n">
        <v>45.86</v>
      </c>
      <c r="AD3" s="6" t="n">
        <v>58.87</v>
      </c>
      <c r="AE3" s="6" t="n">
        <v>68.90000000000001</v>
      </c>
      <c r="AF3" s="6" t="n">
        <v>67.09</v>
      </c>
      <c r="AG3" s="6" t="n">
        <v>140.41</v>
      </c>
      <c r="AH3" s="6" t="n">
        <v>54.31</v>
      </c>
      <c r="AI3" s="6" t="n">
        <v>52.43</v>
      </c>
      <c r="AJ3" s="6" t="n">
        <v>65.59</v>
      </c>
      <c r="AK3" s="6" t="n">
        <v>132.82</v>
      </c>
      <c r="AL3" s="6" t="n">
        <v>113.12</v>
      </c>
    </row>
    <row r="4">
      <c r="A4" s="3" t="inlineStr">
        <is>
          <t>대구치과</t>
        </is>
      </c>
      <c r="B4" s="3" t="inlineStr">
        <is>
          <t>지역명+진료과</t>
        </is>
      </c>
      <c r="C4" s="6" t="n">
        <v>130.59</v>
      </c>
      <c r="D4" s="6" t="n">
        <v>195.55</v>
      </c>
      <c r="E4" s="6" t="n">
        <v>237.22</v>
      </c>
      <c r="F4" s="6" t="n">
        <v>146.81</v>
      </c>
      <c r="G4" s="6" t="n">
        <v>96.31999999999999</v>
      </c>
      <c r="H4" s="6" t="n">
        <v>150.86</v>
      </c>
      <c r="I4" s="6" t="n">
        <v>139.17</v>
      </c>
      <c r="J4" s="6" t="n">
        <v>99.63</v>
      </c>
      <c r="K4" s="6" t="n">
        <v>67.83</v>
      </c>
      <c r="L4" s="6" t="n">
        <v>51.72</v>
      </c>
      <c r="M4" s="6" t="n">
        <v>46.45</v>
      </c>
      <c r="N4" s="6" t="n">
        <v>80.34</v>
      </c>
      <c r="O4" s="6" t="n">
        <v>75.52</v>
      </c>
      <c r="P4" s="6" t="n">
        <v>68.64</v>
      </c>
      <c r="Q4" s="6" t="n">
        <v>64.66</v>
      </c>
      <c r="R4" s="6" t="n">
        <v>79.54000000000001</v>
      </c>
      <c r="S4" s="6" t="n">
        <v>110</v>
      </c>
      <c r="T4" s="6" t="n">
        <v>80.22</v>
      </c>
      <c r="U4" s="6" t="n">
        <v>215.8</v>
      </c>
      <c r="V4" s="6" t="n">
        <v>205.13</v>
      </c>
      <c r="W4" s="6" t="n">
        <v>172.25</v>
      </c>
      <c r="X4" s="6" t="n">
        <v>248.32</v>
      </c>
      <c r="Y4" s="6" t="n">
        <v>156.35</v>
      </c>
      <c r="Z4" s="6" t="n">
        <v>141.85</v>
      </c>
      <c r="AA4" s="6" t="n">
        <v>159.69</v>
      </c>
      <c r="AB4" s="6" t="n">
        <v>186.83</v>
      </c>
      <c r="AC4" s="6" t="n">
        <v>58.09</v>
      </c>
      <c r="AD4" s="6" t="n">
        <v>80.45999999999999</v>
      </c>
      <c r="AE4" s="6" t="n">
        <v>68.69</v>
      </c>
      <c r="AF4" s="6" t="n">
        <v>75.91</v>
      </c>
      <c r="AG4" s="6" t="n">
        <v>162.63</v>
      </c>
      <c r="AH4" s="6" t="n">
        <v>48.87</v>
      </c>
      <c r="AI4" s="6" t="n">
        <v>85.3</v>
      </c>
      <c r="AJ4" s="6" t="n">
        <v>79.56</v>
      </c>
      <c r="AK4" s="6" t="n">
        <v>159.14</v>
      </c>
      <c r="AL4" s="6" t="n">
        <v>173.94</v>
      </c>
    </row>
    <row r="5">
      <c r="A5" s="3" t="inlineStr">
        <is>
          <t>인천치과</t>
        </is>
      </c>
      <c r="B5" s="3" t="inlineStr">
        <is>
          <t>지역명+진료과</t>
        </is>
      </c>
      <c r="C5" s="6" t="n">
        <v>57.67</v>
      </c>
      <c r="D5" s="6" t="n">
        <v>81.93000000000001</v>
      </c>
      <c r="E5" s="6" t="n">
        <v>85.77</v>
      </c>
      <c r="F5" s="6" t="n">
        <v>77.48</v>
      </c>
      <c r="G5" s="6" t="n">
        <v>56.54</v>
      </c>
      <c r="H5" s="6" t="n">
        <v>64.44</v>
      </c>
      <c r="I5" s="6" t="n">
        <v>49.26</v>
      </c>
      <c r="J5" s="6" t="n">
        <v>63.08</v>
      </c>
      <c r="K5" s="6" t="n">
        <v>78.34999999999999</v>
      </c>
      <c r="L5" s="6" t="n">
        <v>56.45</v>
      </c>
      <c r="M5" s="6" t="n">
        <v>55.69</v>
      </c>
      <c r="N5" s="6" t="n">
        <v>53.38</v>
      </c>
      <c r="O5" s="6" t="n">
        <v>41.28</v>
      </c>
      <c r="P5" s="6" t="n">
        <v>55.52</v>
      </c>
      <c r="Q5" s="6" t="n">
        <v>57.1</v>
      </c>
      <c r="R5" s="6" t="n">
        <v>65.84</v>
      </c>
      <c r="S5" s="6" t="n">
        <v>60.43</v>
      </c>
      <c r="T5" s="6" t="n">
        <v>81.59</v>
      </c>
      <c r="U5" s="6" t="n">
        <v>75.53</v>
      </c>
      <c r="V5" s="6" t="n">
        <v>52.91</v>
      </c>
      <c r="W5" s="6" t="n">
        <v>66.33</v>
      </c>
      <c r="X5" s="6" t="n">
        <v>86.72</v>
      </c>
      <c r="Y5" s="6" t="n">
        <v>108.14</v>
      </c>
      <c r="Z5" s="6" t="n">
        <v>69.90000000000001</v>
      </c>
      <c r="AA5" s="6" t="n">
        <v>71.12</v>
      </c>
      <c r="AB5" s="6" t="n">
        <v>56.09</v>
      </c>
      <c r="AC5" s="6" t="n">
        <v>51.56</v>
      </c>
      <c r="AD5" s="6" t="n">
        <v>81.19</v>
      </c>
      <c r="AE5" s="6" t="n">
        <v>87.93000000000001</v>
      </c>
      <c r="AF5" s="6" t="n">
        <v>35.75</v>
      </c>
      <c r="AG5" s="6" t="n">
        <v>38.01</v>
      </c>
      <c r="AH5" s="6" t="n">
        <v>33.57</v>
      </c>
      <c r="AI5" s="6" t="n">
        <v>46.89</v>
      </c>
      <c r="AJ5" s="6" t="n">
        <v>48.51</v>
      </c>
      <c r="AK5" s="6" t="n">
        <v>60.97</v>
      </c>
      <c r="AL5" s="6" t="n">
        <v>83.08</v>
      </c>
    </row>
    <row r="6">
      <c r="A6" s="3" t="inlineStr">
        <is>
          <t>광주치과</t>
        </is>
      </c>
      <c r="B6" s="3" t="inlineStr">
        <is>
          <t>지역명+진료과</t>
        </is>
      </c>
      <c r="C6" s="6" t="n">
        <v>40.15</v>
      </c>
      <c r="D6" s="6" t="n">
        <v>41.63</v>
      </c>
      <c r="E6" s="6" t="n">
        <v>49.65</v>
      </c>
      <c r="F6" s="6" t="n">
        <v>52.68</v>
      </c>
      <c r="G6" s="6" t="n">
        <v>57.26</v>
      </c>
      <c r="H6" s="6" t="n">
        <v>84.73</v>
      </c>
      <c r="I6" s="6" t="n">
        <v>69.78</v>
      </c>
      <c r="J6" s="6" t="n">
        <v>50</v>
      </c>
      <c r="K6" s="6" t="n">
        <v>49.97</v>
      </c>
      <c r="L6" s="6" t="n">
        <v>47.61</v>
      </c>
      <c r="M6" s="6" t="n">
        <v>53.78</v>
      </c>
      <c r="N6" s="6" t="n">
        <v>205.7</v>
      </c>
      <c r="O6" s="6" t="n">
        <v>66.40000000000001</v>
      </c>
      <c r="P6" s="6" t="n">
        <v>63.83</v>
      </c>
      <c r="Q6" s="6" t="n">
        <v>59.13</v>
      </c>
      <c r="R6" s="6" t="n">
        <v>64.25</v>
      </c>
      <c r="S6" s="6" t="n">
        <v>92.68000000000001</v>
      </c>
      <c r="T6" s="6" t="n">
        <v>99.7</v>
      </c>
      <c r="U6" s="6" t="n">
        <v>76.45</v>
      </c>
      <c r="V6" s="6" t="n">
        <v>63.86</v>
      </c>
      <c r="W6" s="6" t="n">
        <v>91.68000000000001</v>
      </c>
      <c r="X6" s="6" t="n">
        <v>89.67</v>
      </c>
      <c r="Y6" s="6" t="n">
        <v>54.1</v>
      </c>
      <c r="Z6" s="6" t="n">
        <v>51.27</v>
      </c>
      <c r="AA6" s="6" t="n">
        <v>61.32</v>
      </c>
      <c r="AB6" s="6" t="n">
        <v>84.19</v>
      </c>
      <c r="AC6" s="6" t="n">
        <v>71.48</v>
      </c>
      <c r="AD6" s="6" t="n">
        <v>76.47</v>
      </c>
      <c r="AE6" s="6" t="n">
        <v>48.05</v>
      </c>
      <c r="AF6" s="6" t="n">
        <v>58.49</v>
      </c>
      <c r="AG6" s="6" t="n">
        <v>60.42</v>
      </c>
      <c r="AH6" s="6" t="n">
        <v>56.04</v>
      </c>
      <c r="AI6" s="6" t="n">
        <v>55.26</v>
      </c>
      <c r="AJ6" s="6" t="n">
        <v>43.52</v>
      </c>
      <c r="AK6" s="6" t="n">
        <v>78.23</v>
      </c>
      <c r="AL6" s="6" t="n">
        <v>63.04</v>
      </c>
    </row>
    <row r="7">
      <c r="A7" s="3" t="inlineStr">
        <is>
          <t>대전치과</t>
        </is>
      </c>
      <c r="B7" s="3" t="inlineStr">
        <is>
          <t>지역명+진료과</t>
        </is>
      </c>
      <c r="C7" s="6" t="n">
        <v>58.06</v>
      </c>
      <c r="D7" s="6" t="n">
        <v>78.17</v>
      </c>
      <c r="E7" s="6" t="n">
        <v>88.42</v>
      </c>
      <c r="F7" s="6" t="n">
        <v>70.01000000000001</v>
      </c>
      <c r="G7" s="6" t="n">
        <v>78.41</v>
      </c>
      <c r="H7" s="6" t="n">
        <v>93.56999999999999</v>
      </c>
      <c r="I7" s="6" t="n">
        <v>107.39</v>
      </c>
      <c r="J7" s="6" t="n">
        <v>82.19</v>
      </c>
      <c r="K7" s="6" t="n">
        <v>78.48</v>
      </c>
      <c r="L7" s="6" t="n">
        <v>81.44</v>
      </c>
      <c r="M7" s="6" t="n">
        <v>85.72</v>
      </c>
      <c r="N7" s="6" t="n">
        <v>112.89</v>
      </c>
      <c r="O7" s="6" t="n">
        <v>92.31</v>
      </c>
      <c r="P7" s="6" t="n">
        <v>90.62</v>
      </c>
      <c r="Q7" s="6" t="n">
        <v>91.42</v>
      </c>
      <c r="R7" s="6" t="n">
        <v>121.44</v>
      </c>
      <c r="S7" s="6" t="n">
        <v>167.5</v>
      </c>
      <c r="T7" s="6" t="n">
        <v>112.94</v>
      </c>
      <c r="U7" s="6" t="n">
        <v>156.75</v>
      </c>
      <c r="V7" s="6" t="n">
        <v>144.04</v>
      </c>
      <c r="W7" s="6" t="n">
        <v>159.2</v>
      </c>
      <c r="X7" s="6" t="n">
        <v>141.41</v>
      </c>
      <c r="Y7" s="6" t="n">
        <v>145.62</v>
      </c>
      <c r="Z7" s="6" t="n">
        <v>126.14</v>
      </c>
      <c r="AA7" s="6" t="n">
        <v>134.07</v>
      </c>
      <c r="AB7" s="6" t="n">
        <v>130.34</v>
      </c>
      <c r="AC7" s="6" t="n">
        <v>122.45</v>
      </c>
      <c r="AD7" s="6" t="n">
        <v>117.84</v>
      </c>
      <c r="AE7" s="6" t="n">
        <v>85.92</v>
      </c>
      <c r="AF7" s="6" t="n">
        <v>77.23999999999999</v>
      </c>
      <c r="AG7" s="6" t="n">
        <v>107.92</v>
      </c>
      <c r="AH7" s="6" t="n">
        <v>78.43000000000001</v>
      </c>
      <c r="AI7" s="6" t="n">
        <v>92.75</v>
      </c>
      <c r="AJ7" s="6" t="n">
        <v>70.87</v>
      </c>
      <c r="AK7" s="6" t="n">
        <v>97.59999999999999</v>
      </c>
      <c r="AL7" s="6" t="n">
        <v>93.67</v>
      </c>
    </row>
    <row r="8">
      <c r="A8" s="3" t="inlineStr">
        <is>
          <t>울산치과</t>
        </is>
      </c>
      <c r="B8" s="3" t="inlineStr">
        <is>
          <t>지역명+진료과</t>
        </is>
      </c>
      <c r="C8" s="6" t="n">
        <v>56.77</v>
      </c>
      <c r="D8" s="6" t="n">
        <v>77.29000000000001</v>
      </c>
      <c r="E8" s="6" t="n">
        <v>92.94</v>
      </c>
      <c r="F8" s="6" t="n">
        <v>76.05</v>
      </c>
      <c r="G8" s="6" t="n">
        <v>62.07</v>
      </c>
      <c r="H8" s="6" t="n">
        <v>67.39</v>
      </c>
      <c r="I8" s="6" t="n">
        <v>191.48</v>
      </c>
      <c r="J8" s="6" t="n">
        <v>131.38</v>
      </c>
      <c r="K8" s="6" t="n">
        <v>94.64</v>
      </c>
      <c r="L8" s="6" t="n">
        <v>73.61</v>
      </c>
      <c r="M8" s="6" t="n">
        <v>81.48</v>
      </c>
      <c r="N8" s="6" t="n">
        <v>69.91</v>
      </c>
      <c r="O8" s="6" t="n">
        <v>54.9</v>
      </c>
      <c r="P8" s="6" t="n">
        <v>65.34</v>
      </c>
      <c r="Q8" s="6" t="n">
        <v>58.21</v>
      </c>
      <c r="R8" s="6" t="n">
        <v>48.88</v>
      </c>
      <c r="S8" s="6" t="n">
        <v>64.36</v>
      </c>
      <c r="T8" s="6" t="n">
        <v>138.31</v>
      </c>
      <c r="U8" s="6" t="n">
        <v>186.81</v>
      </c>
      <c r="V8" s="6" t="n">
        <v>227.76</v>
      </c>
      <c r="W8" s="6" t="n">
        <v>157.06</v>
      </c>
      <c r="X8" s="6" t="n">
        <v>98.48</v>
      </c>
      <c r="Y8" s="6" t="n">
        <v>147.99</v>
      </c>
      <c r="Z8" s="6" t="n">
        <v>106.62</v>
      </c>
      <c r="AA8" s="6" t="n">
        <v>82.2</v>
      </c>
      <c r="AB8" s="6" t="n">
        <v>84.92</v>
      </c>
      <c r="AC8" s="6" t="n">
        <v>61.96</v>
      </c>
      <c r="AD8" s="6" t="n">
        <v>72.27</v>
      </c>
      <c r="AE8" s="6" t="n">
        <v>75.94</v>
      </c>
      <c r="AF8" s="6" t="n">
        <v>61.62</v>
      </c>
      <c r="AG8" s="6" t="n">
        <v>65.12</v>
      </c>
      <c r="AH8" s="6" t="n">
        <v>57.72</v>
      </c>
      <c r="AI8" s="6" t="n">
        <v>93.68000000000001</v>
      </c>
      <c r="AJ8" s="6" t="n">
        <v>47.8</v>
      </c>
      <c r="AK8" s="6" t="n">
        <v>47.59</v>
      </c>
      <c r="AL8" s="6" t="n">
        <v>79.65000000000001</v>
      </c>
    </row>
    <row r="9">
      <c r="A9" s="3" t="inlineStr">
        <is>
          <t>서울한의원</t>
        </is>
      </c>
      <c r="B9" s="3" t="inlineStr">
        <is>
          <t>지역명+진료과</t>
        </is>
      </c>
      <c r="C9" s="6" t="n">
        <v>27.21</v>
      </c>
      <c r="D9" s="6" t="n">
        <v>30.28</v>
      </c>
      <c r="E9" s="6" t="n">
        <v>25.09</v>
      </c>
      <c r="F9" s="6" t="n">
        <v>26.14</v>
      </c>
      <c r="G9" s="6" t="n">
        <v>29.15</v>
      </c>
      <c r="H9" s="6" t="n">
        <v>29.57</v>
      </c>
      <c r="I9" s="6" t="n">
        <v>27.11</v>
      </c>
      <c r="J9" s="6" t="n">
        <v>27.8</v>
      </c>
      <c r="K9" s="6" t="n">
        <v>32.56</v>
      </c>
      <c r="L9" s="6" t="n">
        <v>27.01</v>
      </c>
      <c r="M9" s="6" t="n">
        <v>30.25</v>
      </c>
      <c r="N9" s="6" t="n">
        <v>32.4</v>
      </c>
      <c r="O9" s="6" t="n">
        <v>29.93</v>
      </c>
      <c r="P9" s="6" t="n">
        <v>28.3</v>
      </c>
      <c r="Q9" s="6" t="n">
        <v>24.3</v>
      </c>
      <c r="R9" s="6" t="n">
        <v>23.76</v>
      </c>
      <c r="S9" s="6" t="n">
        <v>27.92</v>
      </c>
      <c r="T9" s="6" t="n">
        <v>25.09</v>
      </c>
      <c r="U9" s="6" t="n">
        <v>28.55</v>
      </c>
      <c r="V9" s="6" t="n">
        <v>25.19</v>
      </c>
      <c r="W9" s="6" t="n">
        <v>29.6</v>
      </c>
      <c r="X9" s="6" t="n">
        <v>29.77</v>
      </c>
      <c r="Y9" s="6" t="n">
        <v>27.88</v>
      </c>
      <c r="Z9" s="6" t="n">
        <v>29.98</v>
      </c>
      <c r="AA9" s="6" t="n">
        <v>27.49</v>
      </c>
      <c r="AB9" s="6" t="n">
        <v>29.07</v>
      </c>
      <c r="AC9" s="6" t="n">
        <v>22.5</v>
      </c>
      <c r="AD9" s="6" t="n">
        <v>22.07</v>
      </c>
      <c r="AE9" s="6" t="n">
        <v>25.79</v>
      </c>
      <c r="AF9" s="6" t="n">
        <v>23.93</v>
      </c>
      <c r="AG9" s="6" t="n">
        <v>22.94</v>
      </c>
      <c r="AH9" s="6" t="n">
        <v>24.11</v>
      </c>
      <c r="AI9" s="6" t="n">
        <v>27.1</v>
      </c>
      <c r="AJ9" s="6" t="n">
        <v>25.39</v>
      </c>
      <c r="AK9" s="6" t="n">
        <v>28.16</v>
      </c>
      <c r="AL9" s="6" t="n">
        <v>27.25</v>
      </c>
    </row>
    <row r="10">
      <c r="A10" s="3" t="inlineStr">
        <is>
          <t>부산한의원</t>
        </is>
      </c>
      <c r="B10" s="3" t="inlineStr">
        <is>
          <t>지역명+진료과</t>
        </is>
      </c>
      <c r="C10" s="6" t="n">
        <v>40.48</v>
      </c>
      <c r="D10" s="6" t="n">
        <v>112.45</v>
      </c>
      <c r="E10" s="6" t="n">
        <v>35.56</v>
      </c>
      <c r="F10" s="6" t="n">
        <v>23.3</v>
      </c>
      <c r="G10" s="6" t="n">
        <v>23.94</v>
      </c>
      <c r="H10" s="6" t="n">
        <v>25</v>
      </c>
      <c r="I10" s="6" t="n">
        <v>87.26000000000001</v>
      </c>
      <c r="J10" s="6" t="n">
        <v>90.59</v>
      </c>
      <c r="K10" s="6" t="n">
        <v>73.27</v>
      </c>
      <c r="L10" s="6" t="n">
        <v>74.73</v>
      </c>
      <c r="M10" s="6" t="n">
        <v>65.12</v>
      </c>
      <c r="N10" s="6" t="n">
        <v>43.85</v>
      </c>
      <c r="O10" s="6" t="n">
        <v>34.02</v>
      </c>
      <c r="P10" s="6" t="n">
        <v>27.44</v>
      </c>
      <c r="Q10" s="6" t="n">
        <v>27.74</v>
      </c>
      <c r="R10" s="6" t="n">
        <v>26.9</v>
      </c>
      <c r="S10" s="6" t="n">
        <v>25.62</v>
      </c>
      <c r="T10" s="6" t="n">
        <v>22.38</v>
      </c>
      <c r="U10" s="6" t="n">
        <v>27</v>
      </c>
      <c r="V10" s="6" t="n">
        <v>27.37</v>
      </c>
      <c r="W10" s="6" t="n">
        <v>31.35</v>
      </c>
      <c r="X10" s="6" t="n">
        <v>35.43</v>
      </c>
      <c r="Y10" s="6" t="n">
        <v>29.19</v>
      </c>
      <c r="Z10" s="6" t="n">
        <v>31.64</v>
      </c>
      <c r="AA10" s="6" t="n">
        <v>32.01</v>
      </c>
      <c r="AB10" s="6" t="n">
        <v>28.28</v>
      </c>
      <c r="AC10" s="6" t="n">
        <v>26.03</v>
      </c>
      <c r="AD10" s="6" t="n">
        <v>35.36</v>
      </c>
      <c r="AE10" s="6" t="n">
        <v>77.2</v>
      </c>
      <c r="AF10" s="6" t="n">
        <v>64.52</v>
      </c>
      <c r="AG10" s="6" t="n">
        <v>28.95</v>
      </c>
      <c r="AH10" s="6" t="n">
        <v>36.98</v>
      </c>
      <c r="AI10" s="6" t="n">
        <v>26.82</v>
      </c>
      <c r="AJ10" s="6" t="n">
        <v>27.87</v>
      </c>
      <c r="AK10" s="6" t="n">
        <v>32.42</v>
      </c>
      <c r="AL10" s="6" t="n">
        <v>28.03</v>
      </c>
    </row>
    <row r="11">
      <c r="A11" s="3" t="inlineStr">
        <is>
          <t>대구한의원</t>
        </is>
      </c>
      <c r="B11" s="3" t="inlineStr">
        <is>
          <t>지역명+진료과</t>
        </is>
      </c>
      <c r="C11" s="6" t="n">
        <v>32.4</v>
      </c>
      <c r="D11" s="6" t="n">
        <v>29.64</v>
      </c>
      <c r="E11" s="6" t="n">
        <v>48.79</v>
      </c>
      <c r="F11" s="6" t="n">
        <v>39.5</v>
      </c>
      <c r="G11" s="6" t="n">
        <v>38.04</v>
      </c>
      <c r="H11" s="6" t="n">
        <v>43.15</v>
      </c>
      <c r="I11" s="6" t="n">
        <v>58.2</v>
      </c>
      <c r="J11" s="6" t="n">
        <v>60.34</v>
      </c>
      <c r="K11" s="6" t="n">
        <v>83.93000000000001</v>
      </c>
      <c r="L11" s="6" t="n">
        <v>61.21</v>
      </c>
      <c r="M11" s="6" t="n">
        <v>56.71</v>
      </c>
      <c r="N11" s="6" t="n">
        <v>55.72</v>
      </c>
      <c r="O11" s="6" t="n">
        <v>36.86</v>
      </c>
      <c r="P11" s="6" t="n">
        <v>36.34</v>
      </c>
      <c r="Q11" s="6" t="n">
        <v>35.65</v>
      </c>
      <c r="R11" s="6" t="n">
        <v>54.03</v>
      </c>
      <c r="S11" s="6" t="n">
        <v>62.76</v>
      </c>
      <c r="T11" s="6" t="n">
        <v>50.89</v>
      </c>
      <c r="U11" s="6" t="n">
        <v>69.75</v>
      </c>
      <c r="V11" s="6" t="n">
        <v>61.72</v>
      </c>
      <c r="W11" s="6" t="n">
        <v>28.82</v>
      </c>
      <c r="X11" s="6" t="n">
        <v>26.66</v>
      </c>
      <c r="Y11" s="6" t="n">
        <v>45.24</v>
      </c>
      <c r="Z11" s="6" t="n">
        <v>46.96</v>
      </c>
      <c r="AA11" s="6" t="n">
        <v>35</v>
      </c>
      <c r="AB11" s="6" t="n">
        <v>28.48</v>
      </c>
      <c r="AC11" s="6" t="n">
        <v>23.94</v>
      </c>
      <c r="AD11" s="6" t="n">
        <v>32.79</v>
      </c>
      <c r="AE11" s="6" t="n">
        <v>51.95</v>
      </c>
      <c r="AF11" s="6" t="n">
        <v>41.87</v>
      </c>
      <c r="AG11" s="6" t="n">
        <v>32.3</v>
      </c>
      <c r="AH11" s="6" t="n">
        <v>38.23</v>
      </c>
      <c r="AI11" s="6" t="n">
        <v>31.68</v>
      </c>
      <c r="AJ11" s="6" t="n">
        <v>24.05</v>
      </c>
      <c r="AK11" s="6" t="n">
        <v>25.65</v>
      </c>
      <c r="AL11" s="6" t="n">
        <v>28.66</v>
      </c>
    </row>
    <row r="12">
      <c r="A12" s="3" t="inlineStr">
        <is>
          <t>인천한의원</t>
        </is>
      </c>
      <c r="B12" s="3" t="inlineStr">
        <is>
          <t>지역명+진료과</t>
        </is>
      </c>
      <c r="C12" s="6" t="n">
        <v>98.51000000000001</v>
      </c>
      <c r="D12" s="6" t="n">
        <v>117.93</v>
      </c>
      <c r="E12" s="6" t="n">
        <v>205.05</v>
      </c>
      <c r="F12" s="6" t="n">
        <v>111.12</v>
      </c>
      <c r="G12" s="6" t="n">
        <v>66.04000000000001</v>
      </c>
      <c r="H12" s="6" t="n">
        <v>65.48999999999999</v>
      </c>
      <c r="I12" s="6" t="n">
        <v>84.08</v>
      </c>
      <c r="J12" s="6" t="n">
        <v>87.97</v>
      </c>
      <c r="K12" s="6" t="n">
        <v>66.23</v>
      </c>
      <c r="L12" s="6" t="n">
        <v>57.19</v>
      </c>
      <c r="M12" s="6" t="n">
        <v>59.73</v>
      </c>
      <c r="N12" s="6" t="n">
        <v>51.06</v>
      </c>
      <c r="O12" s="6" t="n">
        <v>56.88</v>
      </c>
      <c r="P12" s="6" t="n">
        <v>44.24</v>
      </c>
      <c r="Q12" s="6" t="n">
        <v>36.88</v>
      </c>
      <c r="R12" s="6" t="n">
        <v>36.82</v>
      </c>
      <c r="S12" s="6" t="n">
        <v>40.56</v>
      </c>
      <c r="T12" s="6" t="n">
        <v>40.93</v>
      </c>
      <c r="U12" s="6" t="n">
        <v>43.56</v>
      </c>
      <c r="V12" s="6" t="n">
        <v>43.38</v>
      </c>
      <c r="W12" s="6" t="n">
        <v>46.23</v>
      </c>
      <c r="X12" s="6" t="n">
        <v>44.32</v>
      </c>
      <c r="Y12" s="6" t="n">
        <v>50.7</v>
      </c>
      <c r="Z12" s="6" t="n">
        <v>70.90000000000001</v>
      </c>
      <c r="AA12" s="6" t="n">
        <v>54.52</v>
      </c>
      <c r="AB12" s="6" t="n">
        <v>60.21</v>
      </c>
      <c r="AC12" s="6" t="n">
        <v>42.46</v>
      </c>
      <c r="AD12" s="6" t="n">
        <v>39.08</v>
      </c>
      <c r="AE12" s="6" t="n">
        <v>48.41</v>
      </c>
      <c r="AF12" s="6" t="n">
        <v>36.56</v>
      </c>
      <c r="AG12" s="6" t="n">
        <v>42.12</v>
      </c>
      <c r="AH12" s="6" t="n">
        <v>46.61</v>
      </c>
      <c r="AI12" s="6" t="n">
        <v>39.22</v>
      </c>
      <c r="AJ12" s="6" t="n">
        <v>31.27</v>
      </c>
      <c r="AK12" s="6" t="n">
        <v>34.35</v>
      </c>
      <c r="AL12" s="6" t="n">
        <v>28.99</v>
      </c>
    </row>
    <row r="13">
      <c r="A13" s="3" t="inlineStr">
        <is>
          <t>광주한의원</t>
        </is>
      </c>
      <c r="B13" s="3" t="inlineStr">
        <is>
          <t>지역명+진료과</t>
        </is>
      </c>
      <c r="C13" s="6" t="n">
        <v>19.82</v>
      </c>
      <c r="D13" s="6" t="n">
        <v>20.61</v>
      </c>
      <c r="E13" s="6" t="n">
        <v>16.93</v>
      </c>
      <c r="F13" s="6" t="n">
        <v>17.47</v>
      </c>
      <c r="G13" s="6" t="n">
        <v>20</v>
      </c>
      <c r="H13" s="6" t="n">
        <v>22.83</v>
      </c>
      <c r="I13" s="6" t="n">
        <v>22.64</v>
      </c>
      <c r="J13" s="6" t="n">
        <v>23.45</v>
      </c>
      <c r="K13" s="6" t="n">
        <v>20.31</v>
      </c>
      <c r="L13" s="6" t="n">
        <v>25.41</v>
      </c>
      <c r="M13" s="6" t="n">
        <v>23.83</v>
      </c>
      <c r="N13" s="6" t="n">
        <v>20.56</v>
      </c>
      <c r="O13" s="6" t="n">
        <v>40.53</v>
      </c>
      <c r="P13" s="6" t="n">
        <v>21.3</v>
      </c>
      <c r="Q13" s="6" t="n">
        <v>21.17</v>
      </c>
      <c r="R13" s="6" t="n">
        <v>18.82</v>
      </c>
      <c r="S13" s="6" t="n">
        <v>22.09</v>
      </c>
      <c r="T13" s="6" t="n">
        <v>29.33</v>
      </c>
      <c r="U13" s="6" t="n">
        <v>21.46</v>
      </c>
      <c r="V13" s="6" t="n">
        <v>17.15</v>
      </c>
      <c r="W13" s="6" t="n">
        <v>15.24</v>
      </c>
      <c r="X13" s="6" t="n">
        <v>21.24</v>
      </c>
      <c r="Y13" s="6" t="n">
        <v>19.34</v>
      </c>
      <c r="Z13" s="6" t="n">
        <v>29.66</v>
      </c>
      <c r="AA13" s="6" t="n">
        <v>27.43</v>
      </c>
      <c r="AB13" s="6" t="n">
        <v>44.15</v>
      </c>
      <c r="AC13" s="6" t="n">
        <v>16.74</v>
      </c>
      <c r="AD13" s="6" t="n">
        <v>16.75</v>
      </c>
      <c r="AE13" s="6" t="n">
        <v>16.6</v>
      </c>
      <c r="AF13" s="6" t="n">
        <v>19.58</v>
      </c>
      <c r="AG13" s="6" t="n">
        <v>20.84</v>
      </c>
      <c r="AH13" s="6" t="n">
        <v>24.13</v>
      </c>
      <c r="AI13" s="6" t="n">
        <v>25.47</v>
      </c>
      <c r="AJ13" s="6" t="n">
        <v>24.07</v>
      </c>
      <c r="AK13" s="6" t="n">
        <v>23.75</v>
      </c>
      <c r="AL13" s="6" t="n">
        <v>22.15</v>
      </c>
    </row>
    <row r="14">
      <c r="A14" s="3" t="inlineStr">
        <is>
          <t>대전한의원</t>
        </is>
      </c>
      <c r="B14" s="3" t="inlineStr">
        <is>
          <t>지역명+진료과</t>
        </is>
      </c>
      <c r="C14" s="6" t="n">
        <v>27.77</v>
      </c>
      <c r="D14" s="6" t="n">
        <v>28.86</v>
      </c>
      <c r="E14" s="6" t="n">
        <v>26.32</v>
      </c>
      <c r="F14" s="6" t="n">
        <v>29.33</v>
      </c>
      <c r="G14" s="6" t="n">
        <v>30.62</v>
      </c>
      <c r="H14" s="6" t="n">
        <v>28.62</v>
      </c>
      <c r="I14" s="6" t="n">
        <v>31.58</v>
      </c>
      <c r="J14" s="6" t="n">
        <v>43.01</v>
      </c>
      <c r="K14" s="6" t="n">
        <v>35.55</v>
      </c>
      <c r="L14" s="6" t="n">
        <v>32.52</v>
      </c>
      <c r="M14" s="6" t="n">
        <v>33.88</v>
      </c>
      <c r="N14" s="6" t="n">
        <v>36.51</v>
      </c>
      <c r="O14" s="6" t="n">
        <v>49.23</v>
      </c>
      <c r="P14" s="6" t="n">
        <v>30.9</v>
      </c>
      <c r="Q14" s="6" t="n">
        <v>29.27</v>
      </c>
      <c r="R14" s="6" t="n">
        <v>31.64</v>
      </c>
      <c r="S14" s="6" t="n">
        <v>33.5</v>
      </c>
      <c r="T14" s="6" t="n">
        <v>94.37</v>
      </c>
      <c r="U14" s="6" t="n">
        <v>29.87</v>
      </c>
      <c r="V14" s="6" t="n">
        <v>27.99</v>
      </c>
      <c r="W14" s="6" t="n">
        <v>29.78</v>
      </c>
      <c r="X14" s="6" t="n">
        <v>31.03</v>
      </c>
      <c r="Y14" s="6" t="n">
        <v>51.26</v>
      </c>
      <c r="Z14" s="6" t="n">
        <v>48.89</v>
      </c>
      <c r="AA14" s="6" t="n">
        <v>44.84</v>
      </c>
      <c r="AB14" s="6" t="n">
        <v>80.84999999999999</v>
      </c>
      <c r="AC14" s="6" t="n">
        <v>36.08</v>
      </c>
      <c r="AD14" s="6" t="n">
        <v>64.04000000000001</v>
      </c>
      <c r="AE14" s="6" t="n">
        <v>32.92</v>
      </c>
      <c r="AF14" s="6" t="n">
        <v>51.02</v>
      </c>
      <c r="AG14" s="6" t="n">
        <v>29.9</v>
      </c>
      <c r="AH14" s="6" t="n">
        <v>30.06</v>
      </c>
      <c r="AI14" s="6" t="n">
        <v>32.18</v>
      </c>
      <c r="AJ14" s="6" t="n">
        <v>29.89</v>
      </c>
      <c r="AK14" s="6" t="n">
        <v>54.67</v>
      </c>
      <c r="AL14" s="6" t="n">
        <v>44.33</v>
      </c>
    </row>
    <row r="15">
      <c r="A15" s="3" t="inlineStr">
        <is>
          <t>울산한의원</t>
        </is>
      </c>
      <c r="B15" s="3" t="inlineStr">
        <is>
          <t>지역명+진료과</t>
        </is>
      </c>
      <c r="C15" s="6" t="n">
        <v>22.65</v>
      </c>
      <c r="D15" s="6" t="n">
        <v>23.97</v>
      </c>
      <c r="E15" s="6" t="n">
        <v>21.64</v>
      </c>
      <c r="F15" s="6" t="n">
        <v>21.02</v>
      </c>
      <c r="G15" s="6" t="n">
        <v>20.53</v>
      </c>
      <c r="H15" s="6" t="n">
        <v>21.91</v>
      </c>
      <c r="I15" s="6" t="n">
        <v>20.98</v>
      </c>
      <c r="J15" s="6" t="n">
        <v>20.28</v>
      </c>
      <c r="K15" s="6" t="n">
        <v>23.06</v>
      </c>
      <c r="L15" s="6" t="n">
        <v>21.09</v>
      </c>
      <c r="M15" s="6" t="n">
        <v>46.35</v>
      </c>
      <c r="N15" s="6" t="n">
        <v>64.34999999999999</v>
      </c>
      <c r="O15" s="6" t="n">
        <v>35.34</v>
      </c>
      <c r="P15" s="6" t="n">
        <v>20.28</v>
      </c>
      <c r="Q15" s="6" t="n">
        <v>20.92</v>
      </c>
      <c r="R15" s="6" t="n">
        <v>19.02</v>
      </c>
      <c r="S15" s="6" t="n">
        <v>36.42</v>
      </c>
      <c r="T15" s="6" t="n">
        <v>28.89</v>
      </c>
      <c r="U15" s="6" t="n">
        <v>21.69</v>
      </c>
      <c r="V15" s="6" t="n">
        <v>26.6</v>
      </c>
      <c r="W15" s="6" t="n">
        <v>39.71</v>
      </c>
      <c r="X15" s="6" t="n">
        <v>64.16</v>
      </c>
      <c r="Y15" s="6" t="n">
        <v>38.43</v>
      </c>
      <c r="Z15" s="6" t="n">
        <v>64.16</v>
      </c>
      <c r="AA15" s="6" t="n">
        <v>62.32</v>
      </c>
      <c r="AB15" s="6" t="n">
        <v>54.98</v>
      </c>
      <c r="AC15" s="6" t="n">
        <v>20.61</v>
      </c>
      <c r="AD15" s="6" t="n">
        <v>22.49</v>
      </c>
      <c r="AE15" s="6" t="n">
        <v>22.28</v>
      </c>
      <c r="AF15" s="6" t="n">
        <v>21.86</v>
      </c>
      <c r="AG15" s="6" t="n">
        <v>19.39</v>
      </c>
      <c r="AH15" s="6" t="n">
        <v>19.67</v>
      </c>
      <c r="AI15" s="6" t="n">
        <v>19.41</v>
      </c>
      <c r="AJ15" s="6" t="n">
        <v>17.37</v>
      </c>
      <c r="AK15" s="6" t="n">
        <v>19.14</v>
      </c>
      <c r="AL15" s="6" t="n">
        <v>20.32</v>
      </c>
    </row>
    <row r="16">
      <c r="A16" s="3" t="inlineStr">
        <is>
          <t>서울피부과</t>
        </is>
      </c>
      <c r="B16" s="3" t="inlineStr">
        <is>
          <t>지역명+진료과</t>
        </is>
      </c>
      <c r="C16" s="6" t="n">
        <v>105.04</v>
      </c>
      <c r="D16" s="6" t="n">
        <v>111</v>
      </c>
      <c r="E16" s="6" t="n">
        <v>92.63</v>
      </c>
      <c r="F16" s="6" t="n">
        <v>93.81</v>
      </c>
      <c r="G16" s="6" t="n">
        <v>110.91</v>
      </c>
      <c r="H16" s="6" t="n">
        <v>110.51</v>
      </c>
      <c r="I16" s="6" t="n">
        <v>109.47</v>
      </c>
      <c r="J16" s="6" t="n">
        <v>107.15</v>
      </c>
      <c r="K16" s="6" t="n">
        <v>112.58</v>
      </c>
      <c r="L16" s="6" t="n">
        <v>103.65</v>
      </c>
      <c r="M16" s="6" t="n">
        <v>121.41</v>
      </c>
      <c r="N16" s="6" t="n">
        <v>121.64</v>
      </c>
      <c r="O16" s="6" t="n">
        <v>108.38</v>
      </c>
      <c r="P16" s="6" t="n">
        <v>102.06</v>
      </c>
      <c r="Q16" s="6" t="n">
        <v>91.53</v>
      </c>
      <c r="R16" s="6" t="n">
        <v>92.98999999999999</v>
      </c>
      <c r="S16" s="6" t="n">
        <v>113.27</v>
      </c>
      <c r="T16" s="6" t="n">
        <v>102.4</v>
      </c>
      <c r="U16" s="6" t="n">
        <v>102.21</v>
      </c>
      <c r="V16" s="6" t="n">
        <v>97.70999999999999</v>
      </c>
      <c r="W16" s="6" t="n">
        <v>104.71</v>
      </c>
      <c r="X16" s="6" t="n">
        <v>101.24</v>
      </c>
      <c r="Y16" s="6" t="n">
        <v>110.31</v>
      </c>
      <c r="Z16" s="6" t="n">
        <v>110.77</v>
      </c>
      <c r="AA16" s="6" t="n">
        <v>94.23</v>
      </c>
      <c r="AB16" s="6" t="n">
        <v>103.35</v>
      </c>
      <c r="AC16" s="6" t="n">
        <v>77.51000000000001</v>
      </c>
      <c r="AD16" s="6" t="n">
        <v>85.04000000000001</v>
      </c>
      <c r="AE16" s="6" t="n">
        <v>91.83</v>
      </c>
      <c r="AF16" s="6" t="n">
        <v>86.45</v>
      </c>
      <c r="AG16" s="6" t="n">
        <v>84.59</v>
      </c>
      <c r="AH16" s="6" t="n">
        <v>84.25</v>
      </c>
      <c r="AI16" s="6" t="n">
        <v>87.13</v>
      </c>
      <c r="AJ16" s="6" t="n">
        <v>84.81</v>
      </c>
      <c r="AK16" s="6" t="n">
        <v>91.75</v>
      </c>
      <c r="AL16" s="6" t="n">
        <v>91.70999999999999</v>
      </c>
    </row>
    <row r="17">
      <c r="A17" s="3" t="inlineStr">
        <is>
          <t>부산피부과</t>
        </is>
      </c>
      <c r="B17" s="3" t="inlineStr">
        <is>
          <t>지역명+진료과</t>
        </is>
      </c>
      <c r="C17" s="6" t="n">
        <v>67.88</v>
      </c>
      <c r="D17" s="6" t="n">
        <v>69.13</v>
      </c>
      <c r="E17" s="6" t="n">
        <v>56.7</v>
      </c>
      <c r="F17" s="6" t="n">
        <v>64.54000000000001</v>
      </c>
      <c r="G17" s="6" t="n">
        <v>81.73</v>
      </c>
      <c r="H17" s="6" t="n">
        <v>100.34</v>
      </c>
      <c r="I17" s="6" t="n">
        <v>92.04000000000001</v>
      </c>
      <c r="J17" s="6" t="n">
        <v>80.56</v>
      </c>
      <c r="K17" s="6" t="n">
        <v>77.63</v>
      </c>
      <c r="L17" s="6" t="n">
        <v>67.19</v>
      </c>
      <c r="M17" s="6" t="n">
        <v>120.93</v>
      </c>
      <c r="N17" s="6" t="n">
        <v>160.36</v>
      </c>
      <c r="O17" s="6" t="n">
        <v>84.47</v>
      </c>
      <c r="P17" s="6" t="n">
        <v>67.61</v>
      </c>
      <c r="Q17" s="6" t="n">
        <v>63.46</v>
      </c>
      <c r="R17" s="6" t="n">
        <v>76.15000000000001</v>
      </c>
      <c r="S17" s="6" t="n">
        <v>115.53</v>
      </c>
      <c r="T17" s="6" t="n">
        <v>156.68</v>
      </c>
      <c r="U17" s="6" t="n">
        <v>267.52</v>
      </c>
      <c r="V17" s="6" t="n">
        <v>159.84</v>
      </c>
      <c r="W17" s="6" t="n">
        <v>103.29</v>
      </c>
      <c r="X17" s="6" t="n">
        <v>138.31</v>
      </c>
      <c r="Y17" s="6" t="n">
        <v>162.42</v>
      </c>
      <c r="Z17" s="6" t="n">
        <v>140.76</v>
      </c>
      <c r="AA17" s="6" t="n">
        <v>147.46</v>
      </c>
      <c r="AB17" s="6" t="n">
        <v>196.57</v>
      </c>
      <c r="AC17" s="6" t="n">
        <v>94.72</v>
      </c>
      <c r="AD17" s="6" t="n">
        <v>84</v>
      </c>
      <c r="AE17" s="6" t="n">
        <v>109.83</v>
      </c>
      <c r="AF17" s="6" t="n">
        <v>112.68</v>
      </c>
      <c r="AG17" s="6" t="n">
        <v>143.03</v>
      </c>
      <c r="AH17" s="6" t="n">
        <v>77.09999999999999</v>
      </c>
      <c r="AI17" s="6" t="n">
        <v>90.76000000000001</v>
      </c>
      <c r="AJ17" s="6" t="n">
        <v>84.42</v>
      </c>
      <c r="AK17" s="6" t="n">
        <v>97.42</v>
      </c>
      <c r="AL17" s="6" t="n">
        <v>77.44</v>
      </c>
    </row>
    <row r="18">
      <c r="A18" s="3" t="inlineStr">
        <is>
          <t>대구피부과</t>
        </is>
      </c>
      <c r="B18" s="3" t="inlineStr">
        <is>
          <t>지역명+진료과</t>
        </is>
      </c>
      <c r="C18" s="6" t="n">
        <v>132.52</v>
      </c>
      <c r="D18" s="6" t="n">
        <v>141.23</v>
      </c>
      <c r="E18" s="6" t="n">
        <v>116.03</v>
      </c>
      <c r="F18" s="6" t="n">
        <v>132.05</v>
      </c>
      <c r="G18" s="6" t="n">
        <v>167.03</v>
      </c>
      <c r="H18" s="6" t="n">
        <v>153.83</v>
      </c>
      <c r="I18" s="6" t="n">
        <v>147.05</v>
      </c>
      <c r="J18" s="6" t="n">
        <v>144.39</v>
      </c>
      <c r="K18" s="6" t="n">
        <v>148.76</v>
      </c>
      <c r="L18" s="6" t="n">
        <v>135.5</v>
      </c>
      <c r="M18" s="6" t="n">
        <v>168.46</v>
      </c>
      <c r="N18" s="6" t="n">
        <v>165.19</v>
      </c>
      <c r="O18" s="6" t="n">
        <v>152.56</v>
      </c>
      <c r="P18" s="6" t="n">
        <v>150.53</v>
      </c>
      <c r="Q18" s="6" t="n">
        <v>144.13</v>
      </c>
      <c r="R18" s="6" t="n">
        <v>142.96</v>
      </c>
      <c r="S18" s="6" t="n">
        <v>170.87</v>
      </c>
      <c r="T18" s="6" t="n">
        <v>165.87</v>
      </c>
      <c r="U18" s="6" t="n">
        <v>204.1</v>
      </c>
      <c r="V18" s="6" t="n">
        <v>297.6</v>
      </c>
      <c r="W18" s="6" t="n">
        <v>173.22</v>
      </c>
      <c r="X18" s="6" t="n">
        <v>171.31</v>
      </c>
      <c r="Y18" s="6" t="n">
        <v>150.67</v>
      </c>
      <c r="Z18" s="6" t="n">
        <v>147.62</v>
      </c>
      <c r="AA18" s="6" t="n">
        <v>177.35</v>
      </c>
      <c r="AB18" s="6" t="n">
        <v>188.34</v>
      </c>
      <c r="AC18" s="6" t="n">
        <v>138.87</v>
      </c>
      <c r="AD18" s="6" t="n">
        <v>144.36</v>
      </c>
      <c r="AE18" s="6" t="n">
        <v>153.88</v>
      </c>
      <c r="AF18" s="6" t="n">
        <v>170.67</v>
      </c>
      <c r="AG18" s="6" t="n">
        <v>206.86</v>
      </c>
      <c r="AH18" s="6" t="n">
        <v>155.56</v>
      </c>
      <c r="AI18" s="6" t="n">
        <v>148.58</v>
      </c>
      <c r="AJ18" s="6" t="n">
        <v>134.21</v>
      </c>
      <c r="AK18" s="6" t="n">
        <v>176.79</v>
      </c>
      <c r="AL18" s="6" t="n">
        <v>178.04</v>
      </c>
    </row>
    <row r="19">
      <c r="A19" s="3" t="inlineStr">
        <is>
          <t>인천피부과</t>
        </is>
      </c>
      <c r="B19" s="3" t="inlineStr">
        <is>
          <t>지역명+진료과</t>
        </is>
      </c>
      <c r="C19" s="6" t="n">
        <v>57.15</v>
      </c>
      <c r="D19" s="6" t="n">
        <v>58.01</v>
      </c>
      <c r="E19" s="6" t="n">
        <v>52.5</v>
      </c>
      <c r="F19" s="6" t="n">
        <v>66.17</v>
      </c>
      <c r="G19" s="6" t="n">
        <v>73.34</v>
      </c>
      <c r="H19" s="6" t="n">
        <v>99.02</v>
      </c>
      <c r="I19" s="6" t="n">
        <v>98.52</v>
      </c>
      <c r="J19" s="6" t="n">
        <v>174.58</v>
      </c>
      <c r="K19" s="6" t="n">
        <v>77.7</v>
      </c>
      <c r="L19" s="6" t="n">
        <v>66.55</v>
      </c>
      <c r="M19" s="6" t="n">
        <v>132.76</v>
      </c>
      <c r="N19" s="6" t="n">
        <v>85.73999999999999</v>
      </c>
      <c r="O19" s="6" t="n">
        <v>61.96</v>
      </c>
      <c r="P19" s="6" t="n">
        <v>69.08</v>
      </c>
      <c r="Q19" s="6" t="n">
        <v>69.66</v>
      </c>
      <c r="R19" s="6" t="n">
        <v>66.04000000000001</v>
      </c>
      <c r="S19" s="6" t="n">
        <v>85.53</v>
      </c>
      <c r="T19" s="6" t="n">
        <v>97.54000000000001</v>
      </c>
      <c r="U19" s="6" t="n">
        <v>87.3</v>
      </c>
      <c r="V19" s="6" t="n">
        <v>111.57</v>
      </c>
      <c r="W19" s="6" t="n">
        <v>148.96</v>
      </c>
      <c r="X19" s="6" t="n">
        <v>88.23999999999999</v>
      </c>
      <c r="Y19" s="6" t="n">
        <v>115.65</v>
      </c>
      <c r="Z19" s="6" t="n">
        <v>117.6</v>
      </c>
      <c r="AA19" s="6" t="n">
        <v>75.37</v>
      </c>
      <c r="AB19" s="6" t="n">
        <v>93.95999999999999</v>
      </c>
      <c r="AC19" s="6" t="n">
        <v>63.3</v>
      </c>
      <c r="AD19" s="6" t="n">
        <v>73.78</v>
      </c>
      <c r="AE19" s="6" t="n">
        <v>84.94</v>
      </c>
      <c r="AF19" s="6" t="n">
        <v>74.65000000000001</v>
      </c>
      <c r="AG19" s="6" t="n">
        <v>85.84999999999999</v>
      </c>
      <c r="AH19" s="6" t="n">
        <v>64.81999999999999</v>
      </c>
      <c r="AI19" s="6" t="n">
        <v>69.93000000000001</v>
      </c>
      <c r="AJ19" s="6" t="n">
        <v>59.25</v>
      </c>
      <c r="AK19" s="6" t="n">
        <v>55.6</v>
      </c>
      <c r="AL19" s="6" t="n">
        <v>53.57</v>
      </c>
    </row>
    <row r="20">
      <c r="A20" s="3" t="inlineStr">
        <is>
          <t>광주피부과</t>
        </is>
      </c>
      <c r="B20" s="3" t="inlineStr">
        <is>
          <t>지역명+진료과</t>
        </is>
      </c>
      <c r="C20" s="6" t="n">
        <v>160.05</v>
      </c>
      <c r="D20" s="6" t="n">
        <v>102.44</v>
      </c>
      <c r="E20" s="6" t="n">
        <v>83.63</v>
      </c>
      <c r="F20" s="6" t="n">
        <v>108.08</v>
      </c>
      <c r="G20" s="6" t="n">
        <v>127.15</v>
      </c>
      <c r="H20" s="6" t="n">
        <v>209.19</v>
      </c>
      <c r="I20" s="6" t="n">
        <v>120.41</v>
      </c>
      <c r="J20" s="6" t="n">
        <v>104.54</v>
      </c>
      <c r="K20" s="6" t="n">
        <v>138.22</v>
      </c>
      <c r="L20" s="6" t="n">
        <v>126.54</v>
      </c>
      <c r="M20" s="6" t="n">
        <v>122.65</v>
      </c>
      <c r="N20" s="6" t="n">
        <v>118.13</v>
      </c>
      <c r="O20" s="6" t="n">
        <v>112.85</v>
      </c>
      <c r="P20" s="6" t="n">
        <v>100.74</v>
      </c>
      <c r="Q20" s="6" t="n">
        <v>89.54000000000001</v>
      </c>
      <c r="R20" s="6" t="n">
        <v>95.59</v>
      </c>
      <c r="S20" s="6" t="n">
        <v>127.48</v>
      </c>
      <c r="T20" s="6" t="n">
        <v>166.08</v>
      </c>
      <c r="U20" s="6" t="n">
        <v>151.07</v>
      </c>
      <c r="V20" s="6" t="n">
        <v>103.09</v>
      </c>
      <c r="W20" s="6" t="n">
        <v>173.4</v>
      </c>
      <c r="X20" s="6" t="n">
        <v>158.05</v>
      </c>
      <c r="Y20" s="6" t="n">
        <v>133.49</v>
      </c>
      <c r="Z20" s="6" t="n">
        <v>161.58</v>
      </c>
      <c r="AA20" s="6" t="n">
        <v>116.62</v>
      </c>
      <c r="AB20" s="6" t="n">
        <v>140.4</v>
      </c>
      <c r="AC20" s="6" t="n">
        <v>113.22</v>
      </c>
      <c r="AD20" s="6" t="n">
        <v>126.32</v>
      </c>
      <c r="AE20" s="6" t="n">
        <v>144.68</v>
      </c>
      <c r="AF20" s="6" t="n">
        <v>142.27</v>
      </c>
      <c r="AG20" s="6" t="n">
        <v>176.45</v>
      </c>
      <c r="AH20" s="6" t="n">
        <v>156.19</v>
      </c>
      <c r="AI20" s="6" t="n">
        <v>160.29</v>
      </c>
      <c r="AJ20" s="6" t="n">
        <v>180.14</v>
      </c>
      <c r="AK20" s="6" t="n">
        <v>260.71</v>
      </c>
      <c r="AL20" s="6" t="n">
        <v>216.13</v>
      </c>
    </row>
    <row r="21">
      <c r="A21" s="3" t="inlineStr">
        <is>
          <t>대전피부과</t>
        </is>
      </c>
      <c r="B21" s="3" t="inlineStr">
        <is>
          <t>지역명+진료과</t>
        </is>
      </c>
      <c r="C21" s="6" t="n">
        <v>147.69</v>
      </c>
      <c r="D21" s="6" t="n">
        <v>150.23</v>
      </c>
      <c r="E21" s="6" t="n">
        <v>130.05</v>
      </c>
      <c r="F21" s="6" t="n">
        <v>137.72</v>
      </c>
      <c r="G21" s="6" t="n">
        <v>156.69</v>
      </c>
      <c r="H21" s="6" t="n">
        <v>181.85</v>
      </c>
      <c r="I21" s="6" t="n">
        <v>195.47</v>
      </c>
      <c r="J21" s="6" t="n">
        <v>159.17</v>
      </c>
      <c r="K21" s="6" t="n">
        <v>166.22</v>
      </c>
      <c r="L21" s="6" t="n">
        <v>161.56</v>
      </c>
      <c r="M21" s="6" t="n">
        <v>172.97</v>
      </c>
      <c r="N21" s="6" t="n">
        <v>333.97</v>
      </c>
      <c r="O21" s="6" t="n">
        <v>257.45</v>
      </c>
      <c r="P21" s="6" t="n">
        <v>202.28</v>
      </c>
      <c r="Q21" s="6" t="n">
        <v>181.52</v>
      </c>
      <c r="R21" s="6" t="n">
        <v>171.24</v>
      </c>
      <c r="S21" s="6" t="n">
        <v>349.1</v>
      </c>
      <c r="T21" s="6" t="n">
        <v>307.74</v>
      </c>
      <c r="U21" s="6" t="n">
        <v>446.54</v>
      </c>
      <c r="V21" s="6" t="n">
        <v>523.8</v>
      </c>
      <c r="W21" s="6" t="n">
        <v>332.64</v>
      </c>
      <c r="X21" s="6" t="n">
        <v>334.75</v>
      </c>
      <c r="Y21" s="6" t="n">
        <v>255.93</v>
      </c>
      <c r="Z21" s="6" t="n">
        <v>248.3</v>
      </c>
      <c r="AA21" s="6" t="n">
        <v>286.51</v>
      </c>
      <c r="AB21" s="6" t="n">
        <v>337.55</v>
      </c>
      <c r="AC21" s="6" t="n">
        <v>173.77</v>
      </c>
      <c r="AD21" s="6" t="n">
        <v>176.38</v>
      </c>
      <c r="AE21" s="6" t="n">
        <v>193.96</v>
      </c>
      <c r="AF21" s="6" t="n">
        <v>237.68</v>
      </c>
      <c r="AG21" s="6" t="n">
        <v>221.62</v>
      </c>
      <c r="AH21" s="6" t="n">
        <v>187.44</v>
      </c>
      <c r="AI21" s="6" t="n">
        <v>228.99</v>
      </c>
      <c r="AJ21" s="6" t="n">
        <v>188.07</v>
      </c>
      <c r="AK21" s="6" t="n">
        <v>237.71</v>
      </c>
      <c r="AL21" s="6" t="n">
        <v>243.21</v>
      </c>
    </row>
    <row r="22">
      <c r="A22" s="3" t="inlineStr">
        <is>
          <t>울산피부과</t>
        </is>
      </c>
      <c r="B22" s="3" t="inlineStr">
        <is>
          <t>지역명+진료과</t>
        </is>
      </c>
      <c r="C22" s="6" t="n">
        <v>90.31</v>
      </c>
      <c r="D22" s="6" t="n">
        <v>100.34</v>
      </c>
      <c r="E22" s="6" t="n">
        <v>85.78</v>
      </c>
      <c r="F22" s="6" t="n">
        <v>94.44</v>
      </c>
      <c r="G22" s="6" t="n">
        <v>109.32</v>
      </c>
      <c r="H22" s="6" t="n">
        <v>104.01</v>
      </c>
      <c r="I22" s="6" t="n">
        <v>138.78</v>
      </c>
      <c r="J22" s="6" t="n">
        <v>135.53</v>
      </c>
      <c r="K22" s="6" t="n">
        <v>134.86</v>
      </c>
      <c r="L22" s="6" t="n">
        <v>103.36</v>
      </c>
      <c r="M22" s="6" t="n">
        <v>118.55</v>
      </c>
      <c r="N22" s="6" t="n">
        <v>148.99</v>
      </c>
      <c r="O22" s="6" t="n">
        <v>147.09</v>
      </c>
      <c r="P22" s="6" t="n">
        <v>118.04</v>
      </c>
      <c r="Q22" s="6" t="n">
        <v>98.23</v>
      </c>
      <c r="R22" s="6" t="n">
        <v>105.44</v>
      </c>
      <c r="S22" s="6" t="n">
        <v>153.93</v>
      </c>
      <c r="T22" s="6" t="n">
        <v>205.79</v>
      </c>
      <c r="U22" s="6" t="n">
        <v>166.94</v>
      </c>
      <c r="V22" s="6" t="n">
        <v>148.79</v>
      </c>
      <c r="W22" s="6" t="n">
        <v>139.03</v>
      </c>
      <c r="X22" s="6" t="n">
        <v>139.51</v>
      </c>
      <c r="Y22" s="6" t="n">
        <v>182.09</v>
      </c>
      <c r="Z22" s="6" t="n">
        <v>156.83</v>
      </c>
      <c r="AA22" s="6" t="n">
        <v>174.43</v>
      </c>
      <c r="AB22" s="6" t="n">
        <v>145.09</v>
      </c>
      <c r="AC22" s="6" t="n">
        <v>113.71</v>
      </c>
      <c r="AD22" s="6" t="n">
        <v>133.64</v>
      </c>
      <c r="AE22" s="6" t="n">
        <v>158.68</v>
      </c>
      <c r="AF22" s="6" t="n">
        <v>146.13</v>
      </c>
      <c r="AG22" s="6" t="n">
        <v>146.08</v>
      </c>
      <c r="AH22" s="6" t="n">
        <v>120.52</v>
      </c>
      <c r="AI22" s="6" t="n">
        <v>142.9</v>
      </c>
      <c r="AJ22" s="6" t="n">
        <v>125.03</v>
      </c>
      <c r="AK22" s="6" t="n">
        <v>159.53</v>
      </c>
      <c r="AL22" s="6" t="n">
        <v>197.16</v>
      </c>
    </row>
    <row r="23">
      <c r="A23" s="3" t="inlineStr">
        <is>
          <t>서울정형외과</t>
        </is>
      </c>
      <c r="B23" s="3" t="inlineStr">
        <is>
          <t>지역명+진료과</t>
        </is>
      </c>
      <c r="C23" s="6" t="n">
        <v>179.35</v>
      </c>
      <c r="D23" s="6" t="n">
        <v>199.22</v>
      </c>
      <c r="E23" s="6" t="n">
        <v>170.39</v>
      </c>
      <c r="F23" s="6" t="n">
        <v>184.33</v>
      </c>
      <c r="G23" s="6" t="n">
        <v>179.19</v>
      </c>
      <c r="H23" s="6" t="n">
        <v>160.83</v>
      </c>
      <c r="I23" s="6" t="n">
        <v>177.12</v>
      </c>
      <c r="J23" s="6" t="n">
        <v>181.74</v>
      </c>
      <c r="K23" s="6" t="n">
        <v>212.18</v>
      </c>
      <c r="L23" s="6" t="n">
        <v>194.82</v>
      </c>
      <c r="M23" s="6" t="n">
        <v>197.25</v>
      </c>
      <c r="N23" s="6" t="n">
        <v>196.42</v>
      </c>
      <c r="O23" s="6" t="n">
        <v>189.25</v>
      </c>
      <c r="P23" s="6" t="n">
        <v>194.8</v>
      </c>
      <c r="Q23" s="6" t="n">
        <v>173.73</v>
      </c>
      <c r="R23" s="6" t="n">
        <v>165.4</v>
      </c>
      <c r="S23" s="6" t="n">
        <v>174.13</v>
      </c>
      <c r="T23" s="6" t="n">
        <v>157.8</v>
      </c>
      <c r="U23" s="6" t="n">
        <v>174.27</v>
      </c>
      <c r="V23" s="6" t="n">
        <v>165.93</v>
      </c>
      <c r="W23" s="6" t="n">
        <v>194.21</v>
      </c>
      <c r="X23" s="6" t="n">
        <v>190.98</v>
      </c>
      <c r="Y23" s="6" t="n">
        <v>183.71</v>
      </c>
      <c r="Z23" s="6" t="n">
        <v>193.31</v>
      </c>
      <c r="AA23" s="6" t="n">
        <v>177.51</v>
      </c>
      <c r="AB23" s="6" t="n">
        <v>188.09</v>
      </c>
      <c r="AC23" s="6" t="n">
        <v>150.94</v>
      </c>
      <c r="AD23" s="6" t="n">
        <v>166.01</v>
      </c>
      <c r="AE23" s="6" t="n">
        <v>151.62</v>
      </c>
      <c r="AF23" s="6" t="n">
        <v>140.54</v>
      </c>
      <c r="AG23" s="6" t="n">
        <v>157.25</v>
      </c>
      <c r="AH23" s="6" t="n">
        <v>155.55</v>
      </c>
      <c r="AI23" s="6" t="n">
        <v>177.41</v>
      </c>
      <c r="AJ23" s="6" t="n">
        <v>170.99</v>
      </c>
      <c r="AK23" s="6" t="n">
        <v>169.85</v>
      </c>
      <c r="AL23" s="6" t="n">
        <v>168.83</v>
      </c>
    </row>
    <row r="24">
      <c r="A24" s="3" t="inlineStr">
        <is>
          <t>부산정형외과</t>
        </is>
      </c>
      <c r="B24" s="3" t="inlineStr">
        <is>
          <t>지역명+진료과</t>
        </is>
      </c>
      <c r="C24" s="6" t="n">
        <v>38.61</v>
      </c>
      <c r="D24" s="6" t="n">
        <v>39.31</v>
      </c>
      <c r="E24" s="6" t="n">
        <v>31.19</v>
      </c>
      <c r="F24" s="6" t="n">
        <v>48.15</v>
      </c>
      <c r="G24" s="6" t="n">
        <v>42.42</v>
      </c>
      <c r="H24" s="6" t="n">
        <v>44.58</v>
      </c>
      <c r="I24" s="6" t="n">
        <v>47.65</v>
      </c>
      <c r="J24" s="6" t="n">
        <v>45.17</v>
      </c>
      <c r="K24" s="6" t="n">
        <v>51.59</v>
      </c>
      <c r="L24" s="6" t="n">
        <v>57.29</v>
      </c>
      <c r="M24" s="6" t="n">
        <v>45.25</v>
      </c>
      <c r="N24" s="6" t="n">
        <v>48.06</v>
      </c>
      <c r="O24" s="6" t="n">
        <v>46.85</v>
      </c>
      <c r="P24" s="6" t="n">
        <v>40.49</v>
      </c>
      <c r="Q24" s="6" t="n">
        <v>39.2</v>
      </c>
      <c r="R24" s="6" t="n">
        <v>42.2</v>
      </c>
      <c r="S24" s="6" t="n">
        <v>45.29</v>
      </c>
      <c r="T24" s="6" t="n">
        <v>56.41</v>
      </c>
      <c r="U24" s="6" t="n">
        <v>58.41</v>
      </c>
      <c r="V24" s="6" t="n">
        <v>62.32</v>
      </c>
      <c r="W24" s="6" t="n">
        <v>44.5</v>
      </c>
      <c r="X24" s="6" t="n">
        <v>41.87</v>
      </c>
      <c r="Y24" s="6" t="n">
        <v>48.47</v>
      </c>
      <c r="Z24" s="6" t="n">
        <v>55.48</v>
      </c>
      <c r="AA24" s="6" t="n">
        <v>46.4</v>
      </c>
      <c r="AB24" s="6" t="n">
        <v>45.61</v>
      </c>
      <c r="AC24" s="6" t="n">
        <v>31.19</v>
      </c>
      <c r="AD24" s="6" t="n">
        <v>55.27</v>
      </c>
      <c r="AE24" s="6" t="n">
        <v>85.62</v>
      </c>
      <c r="AF24" s="6" t="n">
        <v>82.56</v>
      </c>
      <c r="AG24" s="6" t="n">
        <v>106.76</v>
      </c>
      <c r="AH24" s="6" t="n">
        <v>76.90000000000001</v>
      </c>
      <c r="AI24" s="6" t="n">
        <v>45.28</v>
      </c>
      <c r="AJ24" s="6" t="n">
        <v>32.44</v>
      </c>
      <c r="AK24" s="6" t="n">
        <v>30.7</v>
      </c>
      <c r="AL24" s="6" t="n">
        <v>31.25</v>
      </c>
    </row>
    <row r="25">
      <c r="A25" s="3" t="inlineStr">
        <is>
          <t>대구정형외과</t>
        </is>
      </c>
      <c r="B25" s="3" t="inlineStr">
        <is>
          <t>지역명+진료과</t>
        </is>
      </c>
      <c r="C25" s="6" t="n">
        <v>56.69</v>
      </c>
      <c r="D25" s="6" t="n">
        <v>54.84</v>
      </c>
      <c r="E25" s="6" t="n">
        <v>47.58</v>
      </c>
      <c r="F25" s="6" t="n">
        <v>46.92</v>
      </c>
      <c r="G25" s="6" t="n">
        <v>48.43</v>
      </c>
      <c r="H25" s="6" t="n">
        <v>47.15</v>
      </c>
      <c r="I25" s="6" t="n">
        <v>48.01</v>
      </c>
      <c r="J25" s="6" t="n">
        <v>45.93</v>
      </c>
      <c r="K25" s="6" t="n">
        <v>60.2</v>
      </c>
      <c r="L25" s="6" t="n">
        <v>53.04</v>
      </c>
      <c r="M25" s="6" t="n">
        <v>52.27</v>
      </c>
      <c r="N25" s="6" t="n">
        <v>54.77</v>
      </c>
      <c r="O25" s="6" t="n">
        <v>65.17</v>
      </c>
      <c r="P25" s="6" t="n">
        <v>56.87</v>
      </c>
      <c r="Q25" s="6" t="n">
        <v>53.21</v>
      </c>
      <c r="R25" s="6" t="n">
        <v>58.28</v>
      </c>
      <c r="S25" s="6" t="n">
        <v>58.81</v>
      </c>
      <c r="T25" s="6" t="n">
        <v>45.79</v>
      </c>
      <c r="U25" s="6" t="n">
        <v>53.57</v>
      </c>
      <c r="V25" s="6" t="n">
        <v>52.51</v>
      </c>
      <c r="W25" s="6" t="n">
        <v>90.19</v>
      </c>
      <c r="X25" s="6" t="n">
        <v>168.61</v>
      </c>
      <c r="Y25" s="6" t="n">
        <v>124.95</v>
      </c>
      <c r="Z25" s="6" t="n">
        <v>91.7</v>
      </c>
      <c r="AA25" s="6" t="n">
        <v>111.67</v>
      </c>
      <c r="AB25" s="6" t="n">
        <v>109.8</v>
      </c>
      <c r="AC25" s="6" t="n">
        <v>58</v>
      </c>
      <c r="AD25" s="6" t="n">
        <v>58.47</v>
      </c>
      <c r="AE25" s="6" t="n">
        <v>48.21</v>
      </c>
      <c r="AF25" s="6" t="n">
        <v>52.54</v>
      </c>
      <c r="AG25" s="6" t="n">
        <v>58.68</v>
      </c>
      <c r="AH25" s="6" t="n">
        <v>56.24</v>
      </c>
      <c r="AI25" s="6" t="n">
        <v>60.17</v>
      </c>
      <c r="AJ25" s="6" t="n">
        <v>67.90000000000001</v>
      </c>
      <c r="AK25" s="6" t="n">
        <v>63.61</v>
      </c>
      <c r="AL25" s="6" t="n">
        <v>65.39</v>
      </c>
    </row>
    <row r="26">
      <c r="A26" s="3" t="inlineStr">
        <is>
          <t>인천정형외과</t>
        </is>
      </c>
      <c r="B26" s="3" t="inlineStr">
        <is>
          <t>지역명+진료과</t>
        </is>
      </c>
      <c r="C26" s="6" t="n">
        <v>33.19</v>
      </c>
      <c r="D26" s="6" t="n">
        <v>31.22</v>
      </c>
      <c r="E26" s="6" t="n">
        <v>27.99</v>
      </c>
      <c r="F26" s="6" t="n">
        <v>29.32</v>
      </c>
      <c r="G26" s="6" t="n">
        <v>29.22</v>
      </c>
      <c r="H26" s="6" t="n">
        <v>30.39</v>
      </c>
      <c r="I26" s="6" t="n">
        <v>59.16</v>
      </c>
      <c r="J26" s="6" t="n">
        <v>28.49</v>
      </c>
      <c r="K26" s="6" t="n">
        <v>30.3</v>
      </c>
      <c r="L26" s="6" t="n">
        <v>31.25</v>
      </c>
      <c r="M26" s="6" t="n">
        <v>32.58</v>
      </c>
      <c r="N26" s="6" t="n">
        <v>32.55</v>
      </c>
      <c r="O26" s="6" t="n">
        <v>33.84</v>
      </c>
      <c r="P26" s="6" t="n">
        <v>31.27</v>
      </c>
      <c r="Q26" s="6" t="n">
        <v>26.11</v>
      </c>
      <c r="R26" s="6" t="n">
        <v>25.97</v>
      </c>
      <c r="S26" s="6" t="n">
        <v>28.22</v>
      </c>
      <c r="T26" s="6" t="n">
        <v>25.64</v>
      </c>
      <c r="U26" s="6" t="n">
        <v>35.52</v>
      </c>
      <c r="V26" s="6" t="n">
        <v>37.52</v>
      </c>
      <c r="W26" s="6" t="n">
        <v>39.82</v>
      </c>
      <c r="X26" s="6" t="n">
        <v>43.19</v>
      </c>
      <c r="Y26" s="6" t="n">
        <v>47.93</v>
      </c>
      <c r="Z26" s="6" t="n">
        <v>37.41</v>
      </c>
      <c r="AA26" s="6" t="n">
        <v>48.97</v>
      </c>
      <c r="AB26" s="6" t="n">
        <v>33.62</v>
      </c>
      <c r="AC26" s="6" t="n">
        <v>23.51</v>
      </c>
      <c r="AD26" s="6" t="n">
        <v>25.87</v>
      </c>
      <c r="AE26" s="6" t="n">
        <v>20.77</v>
      </c>
      <c r="AF26" s="6" t="n">
        <v>24.69</v>
      </c>
      <c r="AG26" s="6" t="n">
        <v>27.62</v>
      </c>
      <c r="AH26" s="6" t="n">
        <v>25.35</v>
      </c>
      <c r="AI26" s="6" t="n">
        <v>25.99</v>
      </c>
      <c r="AJ26" s="6" t="n">
        <v>23.85</v>
      </c>
      <c r="AK26" s="6" t="n">
        <v>21.58</v>
      </c>
      <c r="AL26" s="6" t="n">
        <v>19.58</v>
      </c>
    </row>
    <row r="27">
      <c r="A27" s="3" t="inlineStr">
        <is>
          <t>광주정형외과</t>
        </is>
      </c>
      <c r="B27" s="3" t="inlineStr">
        <is>
          <t>지역명+진료과</t>
        </is>
      </c>
      <c r="C27" s="6" t="n">
        <v>42.89</v>
      </c>
      <c r="D27" s="6" t="n">
        <v>44.5</v>
      </c>
      <c r="E27" s="6" t="n">
        <v>35.13</v>
      </c>
      <c r="F27" s="6" t="n">
        <v>45.61</v>
      </c>
      <c r="G27" s="6" t="n">
        <v>38.78</v>
      </c>
      <c r="H27" s="6" t="n">
        <v>40.79</v>
      </c>
      <c r="I27" s="6" t="n">
        <v>40.7</v>
      </c>
      <c r="J27" s="6" t="n">
        <v>45.44</v>
      </c>
      <c r="K27" s="6" t="n">
        <v>62.45</v>
      </c>
      <c r="L27" s="6" t="n">
        <v>51.13</v>
      </c>
      <c r="M27" s="6" t="n">
        <v>43.23</v>
      </c>
      <c r="N27" s="6" t="n">
        <v>63.34</v>
      </c>
      <c r="O27" s="6" t="n">
        <v>58.91</v>
      </c>
      <c r="P27" s="6" t="n">
        <v>43.23</v>
      </c>
      <c r="Q27" s="6" t="n">
        <v>38.35</v>
      </c>
      <c r="R27" s="6" t="n">
        <v>35.75</v>
      </c>
      <c r="S27" s="6" t="n">
        <v>40.38</v>
      </c>
      <c r="T27" s="6" t="n">
        <v>35.09</v>
      </c>
      <c r="U27" s="6" t="n">
        <v>81.78</v>
      </c>
      <c r="V27" s="6" t="n">
        <v>53</v>
      </c>
      <c r="W27" s="6" t="n">
        <v>63.34</v>
      </c>
      <c r="X27" s="6" t="n">
        <v>46.86</v>
      </c>
      <c r="Y27" s="6" t="n">
        <v>42.42</v>
      </c>
      <c r="Z27" s="6" t="n">
        <v>42.41</v>
      </c>
      <c r="AA27" s="6" t="n">
        <v>39.56</v>
      </c>
      <c r="AB27" s="6" t="n">
        <v>50.97</v>
      </c>
      <c r="AC27" s="6" t="n">
        <v>42.89</v>
      </c>
      <c r="AD27" s="6" t="n">
        <v>40.53</v>
      </c>
      <c r="AE27" s="6" t="n">
        <v>47.64</v>
      </c>
      <c r="AF27" s="6" t="n">
        <v>44.97</v>
      </c>
      <c r="AG27" s="6" t="n">
        <v>47.42</v>
      </c>
      <c r="AH27" s="6" t="n">
        <v>40.12</v>
      </c>
      <c r="AI27" s="6" t="n">
        <v>51</v>
      </c>
      <c r="AJ27" s="6" t="n">
        <v>42.99</v>
      </c>
      <c r="AK27" s="6" t="n">
        <v>46.51</v>
      </c>
      <c r="AL27" s="6" t="n">
        <v>46.79</v>
      </c>
    </row>
    <row r="28">
      <c r="A28" s="3" t="inlineStr">
        <is>
          <t>대전정형외과</t>
        </is>
      </c>
      <c r="B28" s="3" t="inlineStr">
        <is>
          <t>지역명+진료과</t>
        </is>
      </c>
      <c r="C28" s="6" t="n">
        <v>73.45</v>
      </c>
      <c r="D28" s="6" t="n">
        <v>73.76000000000001</v>
      </c>
      <c r="E28" s="6" t="n">
        <v>57.38</v>
      </c>
      <c r="F28" s="6" t="n">
        <v>59.88</v>
      </c>
      <c r="G28" s="6" t="n">
        <v>63.02</v>
      </c>
      <c r="H28" s="6" t="n">
        <v>65.5</v>
      </c>
      <c r="I28" s="6" t="n">
        <v>73.06</v>
      </c>
      <c r="J28" s="6" t="n">
        <v>74.03</v>
      </c>
      <c r="K28" s="6" t="n">
        <v>79.48</v>
      </c>
      <c r="L28" s="6" t="n">
        <v>73.59999999999999</v>
      </c>
      <c r="M28" s="6" t="n">
        <v>60.5</v>
      </c>
      <c r="N28" s="6" t="n">
        <v>57.9</v>
      </c>
      <c r="O28" s="6" t="n">
        <v>74.43000000000001</v>
      </c>
      <c r="P28" s="6" t="n">
        <v>66.13</v>
      </c>
      <c r="Q28" s="6" t="n">
        <v>54.18</v>
      </c>
      <c r="R28" s="6" t="n">
        <v>56.94</v>
      </c>
      <c r="S28" s="6" t="n">
        <v>61.81</v>
      </c>
      <c r="T28" s="6" t="n">
        <v>50.96</v>
      </c>
      <c r="U28" s="6" t="n">
        <v>83.73</v>
      </c>
      <c r="V28" s="6" t="n">
        <v>136.6</v>
      </c>
      <c r="W28" s="6" t="n">
        <v>93.59</v>
      </c>
      <c r="X28" s="6" t="n">
        <v>79.61</v>
      </c>
      <c r="Y28" s="6" t="n">
        <v>80.86</v>
      </c>
      <c r="Z28" s="6" t="n">
        <v>122.33</v>
      </c>
      <c r="AA28" s="6" t="n">
        <v>99.89</v>
      </c>
      <c r="AB28" s="6" t="n">
        <v>84.23999999999999</v>
      </c>
      <c r="AC28" s="6" t="n">
        <v>113.43</v>
      </c>
      <c r="AD28" s="6" t="n">
        <v>132.5</v>
      </c>
      <c r="AE28" s="6" t="n">
        <v>75.47</v>
      </c>
      <c r="AF28" s="6" t="n">
        <v>66.59</v>
      </c>
      <c r="AG28" s="6" t="n">
        <v>74.39</v>
      </c>
      <c r="AH28" s="6" t="n">
        <v>71.22</v>
      </c>
      <c r="AI28" s="6" t="n">
        <v>68.20999999999999</v>
      </c>
      <c r="AJ28" s="6" t="n">
        <v>61.6</v>
      </c>
      <c r="AK28" s="6" t="n">
        <v>62.76</v>
      </c>
      <c r="AL28" s="6" t="n">
        <v>65.70999999999999</v>
      </c>
    </row>
    <row r="29">
      <c r="A29" s="3" t="inlineStr">
        <is>
          <t>울산정형외과</t>
        </is>
      </c>
      <c r="B29" s="3" t="inlineStr">
        <is>
          <t>지역명+진료과</t>
        </is>
      </c>
      <c r="C29" s="6" t="n">
        <v>43.11</v>
      </c>
      <c r="D29" s="6" t="n">
        <v>48.64</v>
      </c>
      <c r="E29" s="6" t="n">
        <v>39.87</v>
      </c>
      <c r="F29" s="6" t="n">
        <v>38.89</v>
      </c>
      <c r="G29" s="6" t="n">
        <v>38.17</v>
      </c>
      <c r="H29" s="6" t="n">
        <v>40.79</v>
      </c>
      <c r="I29" s="6" t="n">
        <v>44.73</v>
      </c>
      <c r="J29" s="6" t="n">
        <v>45.13</v>
      </c>
      <c r="K29" s="6" t="n">
        <v>53.16</v>
      </c>
      <c r="L29" s="6" t="n">
        <v>47.91</v>
      </c>
      <c r="M29" s="6" t="n">
        <v>39.57</v>
      </c>
      <c r="N29" s="6" t="n">
        <v>40.96</v>
      </c>
      <c r="O29" s="6" t="n">
        <v>48.99</v>
      </c>
      <c r="P29" s="6" t="n">
        <v>44.45</v>
      </c>
      <c r="Q29" s="6" t="n">
        <v>38</v>
      </c>
      <c r="R29" s="6" t="n">
        <v>38.3</v>
      </c>
      <c r="S29" s="6" t="n">
        <v>41.49</v>
      </c>
      <c r="T29" s="6" t="n">
        <v>34.67</v>
      </c>
      <c r="U29" s="6" t="n">
        <v>42.2</v>
      </c>
      <c r="V29" s="6" t="n">
        <v>40.86</v>
      </c>
      <c r="W29" s="6" t="n">
        <v>48.27</v>
      </c>
      <c r="X29" s="6" t="n">
        <v>45.41</v>
      </c>
      <c r="Y29" s="6" t="n">
        <v>42.76</v>
      </c>
      <c r="Z29" s="6" t="n">
        <v>45.37</v>
      </c>
      <c r="AA29" s="6" t="n">
        <v>42.73</v>
      </c>
      <c r="AB29" s="6" t="n">
        <v>50.75</v>
      </c>
      <c r="AC29" s="6" t="n">
        <v>37.56</v>
      </c>
      <c r="AD29" s="6" t="n">
        <v>58.12</v>
      </c>
      <c r="AE29" s="6" t="n">
        <v>65.02</v>
      </c>
      <c r="AF29" s="6" t="n">
        <v>60.43</v>
      </c>
      <c r="AG29" s="6" t="n">
        <v>72.06</v>
      </c>
      <c r="AH29" s="6" t="n">
        <v>43.09</v>
      </c>
      <c r="AI29" s="6" t="n">
        <v>46.52</v>
      </c>
      <c r="AJ29" s="6" t="n">
        <v>43.83</v>
      </c>
      <c r="AK29" s="6" t="n">
        <v>42.09</v>
      </c>
      <c r="AL29" s="6" t="n">
        <v>42.71</v>
      </c>
    </row>
    <row r="30">
      <c r="A30" s="3" t="inlineStr">
        <is>
          <t>서울안과</t>
        </is>
      </c>
      <c r="B30" s="3" t="inlineStr">
        <is>
          <t>지역명+진료과</t>
        </is>
      </c>
      <c r="C30" s="6" t="n">
        <v>215.41</v>
      </c>
      <c r="D30" s="6" t="n">
        <v>224.06</v>
      </c>
      <c r="E30" s="6" t="n">
        <v>188.29</v>
      </c>
      <c r="F30" s="6" t="n">
        <v>198.38</v>
      </c>
      <c r="G30" s="6" t="n">
        <v>218.98</v>
      </c>
      <c r="H30" s="6" t="n">
        <v>228.65</v>
      </c>
      <c r="I30" s="6" t="n">
        <v>225.76</v>
      </c>
      <c r="J30" s="6" t="n">
        <v>248.74</v>
      </c>
      <c r="K30" s="6" t="n">
        <v>252.05</v>
      </c>
      <c r="L30" s="6" t="n">
        <v>229.45</v>
      </c>
      <c r="M30" s="6" t="n">
        <v>256.38</v>
      </c>
      <c r="N30" s="6" t="n">
        <v>287.57</v>
      </c>
      <c r="O30" s="6" t="n">
        <v>232.4</v>
      </c>
      <c r="P30" s="6" t="n">
        <v>205.85</v>
      </c>
      <c r="Q30" s="6" t="n">
        <v>184.86</v>
      </c>
      <c r="R30" s="6" t="n">
        <v>191.31</v>
      </c>
      <c r="S30" s="6" t="n">
        <v>209.24</v>
      </c>
      <c r="T30" s="6" t="n">
        <v>217.2</v>
      </c>
      <c r="U30" s="6" t="n">
        <v>215.41</v>
      </c>
      <c r="V30" s="6" t="n">
        <v>221.05</v>
      </c>
      <c r="W30" s="6" t="n">
        <v>231.62</v>
      </c>
      <c r="X30" s="6" t="n">
        <v>209.11</v>
      </c>
      <c r="Y30" s="6" t="n">
        <v>231.94</v>
      </c>
      <c r="Z30" s="6" t="n">
        <v>239.99</v>
      </c>
      <c r="AA30" s="6" t="n">
        <v>199.86</v>
      </c>
      <c r="AB30" s="6" t="n">
        <v>202.56</v>
      </c>
      <c r="AC30" s="6" t="n">
        <v>163</v>
      </c>
      <c r="AD30" s="6" t="n">
        <v>179.95</v>
      </c>
      <c r="AE30" s="6" t="n">
        <v>200.55</v>
      </c>
      <c r="AF30" s="6" t="n">
        <v>191.88</v>
      </c>
      <c r="AG30" s="6" t="n">
        <v>186.59</v>
      </c>
      <c r="AH30" s="6" t="n">
        <v>204.97</v>
      </c>
      <c r="AI30" s="6" t="n">
        <v>198.73</v>
      </c>
      <c r="AJ30" s="6" t="n">
        <v>193.04</v>
      </c>
      <c r="AK30" s="6" t="n">
        <v>211.47</v>
      </c>
      <c r="AL30" s="6" t="n">
        <v>226.09</v>
      </c>
    </row>
    <row r="31">
      <c r="A31" s="3" t="inlineStr">
        <is>
          <t>부산안과</t>
        </is>
      </c>
      <c r="B31" s="3" t="inlineStr">
        <is>
          <t>지역명+진료과</t>
        </is>
      </c>
      <c r="C31" s="6" t="n">
        <v>34.61</v>
      </c>
      <c r="D31" s="6" t="n">
        <v>31.31</v>
      </c>
      <c r="E31" s="6" t="n">
        <v>27.91</v>
      </c>
      <c r="F31" s="6" t="n">
        <v>29.29</v>
      </c>
      <c r="G31" s="6" t="n">
        <v>34.4</v>
      </c>
      <c r="H31" s="6" t="n">
        <v>39.55</v>
      </c>
      <c r="I31" s="6" t="n">
        <v>48.75</v>
      </c>
      <c r="J31" s="6" t="n">
        <v>34.37</v>
      </c>
      <c r="K31" s="6" t="n">
        <v>34.74</v>
      </c>
      <c r="L31" s="6" t="n">
        <v>34.66</v>
      </c>
      <c r="M31" s="6" t="n">
        <v>44.81</v>
      </c>
      <c r="N31" s="6" t="n">
        <v>41.95</v>
      </c>
      <c r="O31" s="6" t="n">
        <v>39.65</v>
      </c>
      <c r="P31" s="6" t="n">
        <v>35.23</v>
      </c>
      <c r="Q31" s="6" t="n">
        <v>31.02</v>
      </c>
      <c r="R31" s="6" t="n">
        <v>33.2</v>
      </c>
      <c r="S31" s="6" t="n">
        <v>50.47</v>
      </c>
      <c r="T31" s="6" t="n">
        <v>70.98</v>
      </c>
      <c r="U31" s="6" t="n">
        <v>76.31999999999999</v>
      </c>
      <c r="V31" s="6" t="n">
        <v>58.79</v>
      </c>
      <c r="W31" s="6" t="n">
        <v>82.09</v>
      </c>
      <c r="X31" s="6" t="n">
        <v>59.06</v>
      </c>
      <c r="Y31" s="6" t="n">
        <v>96.45999999999999</v>
      </c>
      <c r="Z31" s="6" t="n">
        <v>57.52</v>
      </c>
      <c r="AA31" s="6" t="n">
        <v>47.7</v>
      </c>
      <c r="AB31" s="6" t="n">
        <v>55.59</v>
      </c>
      <c r="AC31" s="6" t="n">
        <v>28.77</v>
      </c>
      <c r="AD31" s="6" t="n">
        <v>29.67</v>
      </c>
      <c r="AE31" s="6" t="n">
        <v>40.19</v>
      </c>
      <c r="AF31" s="6" t="n">
        <v>29.53</v>
      </c>
      <c r="AG31" s="6" t="n">
        <v>47.49</v>
      </c>
      <c r="AH31" s="6" t="n">
        <v>35.83</v>
      </c>
      <c r="AI31" s="6" t="n">
        <v>69.59999999999999</v>
      </c>
      <c r="AJ31" s="6" t="n">
        <v>108.23</v>
      </c>
      <c r="AK31" s="6" t="n">
        <v>70.76000000000001</v>
      </c>
      <c r="AL31" s="6" t="n">
        <v>57.55</v>
      </c>
    </row>
    <row r="32">
      <c r="A32" s="3" t="inlineStr">
        <is>
          <t>대구안과</t>
        </is>
      </c>
      <c r="B32" s="3" t="inlineStr">
        <is>
          <t>지역명+진료과</t>
        </is>
      </c>
      <c r="C32" s="6" t="n">
        <v>68.89</v>
      </c>
      <c r="D32" s="6" t="n">
        <v>73.3</v>
      </c>
      <c r="E32" s="6" t="n">
        <v>59.7</v>
      </c>
      <c r="F32" s="6" t="n">
        <v>62.92</v>
      </c>
      <c r="G32" s="6" t="n">
        <v>67.16</v>
      </c>
      <c r="H32" s="6" t="n">
        <v>67.01000000000001</v>
      </c>
      <c r="I32" s="6" t="n">
        <v>67.79000000000001</v>
      </c>
      <c r="J32" s="6" t="n">
        <v>64.51000000000001</v>
      </c>
      <c r="K32" s="6" t="n">
        <v>70.22</v>
      </c>
      <c r="L32" s="6" t="n">
        <v>64.63</v>
      </c>
      <c r="M32" s="6" t="n">
        <v>76.41</v>
      </c>
      <c r="N32" s="6" t="n">
        <v>73.27</v>
      </c>
      <c r="O32" s="6" t="n">
        <v>70.73</v>
      </c>
      <c r="P32" s="6" t="n">
        <v>67.68000000000001</v>
      </c>
      <c r="Q32" s="6" t="n">
        <v>59.17</v>
      </c>
      <c r="R32" s="6" t="n">
        <v>60.07</v>
      </c>
      <c r="S32" s="6" t="n">
        <v>69.5</v>
      </c>
      <c r="T32" s="6" t="n">
        <v>63.68</v>
      </c>
      <c r="U32" s="6" t="n">
        <v>72.7</v>
      </c>
      <c r="V32" s="6" t="n">
        <v>67.29000000000001</v>
      </c>
      <c r="W32" s="6" t="n">
        <v>65.8</v>
      </c>
      <c r="X32" s="6" t="n">
        <v>64.01000000000001</v>
      </c>
      <c r="Y32" s="6" t="n">
        <v>67.45</v>
      </c>
      <c r="Z32" s="6" t="n">
        <v>73.45</v>
      </c>
      <c r="AA32" s="6" t="n">
        <v>61.13</v>
      </c>
      <c r="AB32" s="6" t="n">
        <v>75.95999999999999</v>
      </c>
      <c r="AC32" s="6" t="n">
        <v>56.73</v>
      </c>
      <c r="AD32" s="6" t="n">
        <v>60.86</v>
      </c>
      <c r="AE32" s="6" t="n">
        <v>65.44</v>
      </c>
      <c r="AF32" s="6" t="n">
        <v>60.37</v>
      </c>
      <c r="AG32" s="6" t="n">
        <v>59.89</v>
      </c>
      <c r="AH32" s="6" t="n">
        <v>60.3</v>
      </c>
      <c r="AI32" s="6" t="n">
        <v>66.92</v>
      </c>
      <c r="AJ32" s="6" t="n">
        <v>67.77</v>
      </c>
      <c r="AK32" s="6" t="n">
        <v>70.31</v>
      </c>
      <c r="AL32" s="6" t="n">
        <v>70.53</v>
      </c>
    </row>
    <row r="33">
      <c r="A33" s="3" t="inlineStr">
        <is>
          <t>인천안과</t>
        </is>
      </c>
      <c r="B33" s="3" t="inlineStr">
        <is>
          <t>지역명+진료과</t>
        </is>
      </c>
      <c r="C33" s="6" t="n">
        <v>19.18</v>
      </c>
      <c r="D33" s="6" t="n">
        <v>17.71</v>
      </c>
      <c r="E33" s="6" t="n">
        <v>14.69</v>
      </c>
      <c r="F33" s="6" t="n">
        <v>16.61</v>
      </c>
      <c r="G33" s="6" t="n">
        <v>16.25</v>
      </c>
      <c r="H33" s="6" t="n">
        <v>17.68</v>
      </c>
      <c r="I33" s="6" t="n">
        <v>19.21</v>
      </c>
      <c r="J33" s="6" t="n">
        <v>17.77</v>
      </c>
      <c r="K33" s="6" t="n">
        <v>19.2</v>
      </c>
      <c r="L33" s="6" t="n">
        <v>17.31</v>
      </c>
      <c r="M33" s="6" t="n">
        <v>27.71</v>
      </c>
      <c r="N33" s="6" t="n">
        <v>20.47</v>
      </c>
      <c r="O33" s="6" t="n">
        <v>20.8</v>
      </c>
      <c r="P33" s="6" t="n">
        <v>17.6</v>
      </c>
      <c r="Q33" s="6" t="n">
        <v>15.19</v>
      </c>
      <c r="R33" s="6" t="n">
        <v>15.92</v>
      </c>
      <c r="S33" s="6" t="n">
        <v>17.85</v>
      </c>
      <c r="T33" s="6" t="n">
        <v>18.72</v>
      </c>
      <c r="U33" s="6" t="n">
        <v>26.76</v>
      </c>
      <c r="V33" s="6" t="n">
        <v>15.5</v>
      </c>
      <c r="W33" s="6" t="n">
        <v>17.06</v>
      </c>
      <c r="X33" s="6" t="n">
        <v>20.77</v>
      </c>
      <c r="Y33" s="6" t="n">
        <v>63.14</v>
      </c>
      <c r="Z33" s="6" t="n">
        <v>23.39</v>
      </c>
      <c r="AA33" s="6" t="n">
        <v>14.47</v>
      </c>
      <c r="AB33" s="6" t="n">
        <v>19.28</v>
      </c>
      <c r="AC33" s="6" t="n">
        <v>13.45</v>
      </c>
      <c r="AD33" s="6" t="n">
        <v>15.11</v>
      </c>
      <c r="AE33" s="6" t="n">
        <v>18.94</v>
      </c>
      <c r="AF33" s="6" t="n">
        <v>17.15</v>
      </c>
      <c r="AG33" s="6" t="n">
        <v>16.06</v>
      </c>
      <c r="AH33" s="6" t="n">
        <v>16.55</v>
      </c>
      <c r="AI33" s="6" t="n">
        <v>22.21</v>
      </c>
      <c r="AJ33" s="6" t="n">
        <v>16.25</v>
      </c>
      <c r="AK33" s="6" t="n">
        <v>16.11</v>
      </c>
      <c r="AL33" s="6" t="n">
        <v>18.19</v>
      </c>
    </row>
    <row r="34">
      <c r="A34" s="3" t="inlineStr">
        <is>
          <t>광주안과</t>
        </is>
      </c>
      <c r="B34" s="3" t="inlineStr">
        <is>
          <t>지역명+진료과</t>
        </is>
      </c>
      <c r="C34" s="6" t="n">
        <v>113.77</v>
      </c>
      <c r="D34" s="6" t="n">
        <v>120.84</v>
      </c>
      <c r="E34" s="6" t="n">
        <v>111.53</v>
      </c>
      <c r="F34" s="6" t="n">
        <v>127.56</v>
      </c>
      <c r="G34" s="6" t="n">
        <v>154.49</v>
      </c>
      <c r="H34" s="6" t="n">
        <v>144.66</v>
      </c>
      <c r="I34" s="6" t="n">
        <v>130.91</v>
      </c>
      <c r="J34" s="6" t="n">
        <v>126.59</v>
      </c>
      <c r="K34" s="6" t="n">
        <v>128.15</v>
      </c>
      <c r="L34" s="6" t="n">
        <v>122.51</v>
      </c>
      <c r="M34" s="6" t="n">
        <v>132.64</v>
      </c>
      <c r="N34" s="6" t="n">
        <v>141.98</v>
      </c>
      <c r="O34" s="6" t="n">
        <v>128.71</v>
      </c>
      <c r="P34" s="6" t="n">
        <v>123.59</v>
      </c>
      <c r="Q34" s="6" t="n">
        <v>127.14</v>
      </c>
      <c r="R34" s="6" t="n">
        <v>141.45</v>
      </c>
      <c r="S34" s="6" t="n">
        <v>159.37</v>
      </c>
      <c r="T34" s="6" t="n">
        <v>147.89</v>
      </c>
      <c r="U34" s="6" t="n">
        <v>135.02</v>
      </c>
      <c r="V34" s="6" t="n">
        <v>128.85</v>
      </c>
      <c r="W34" s="6" t="n">
        <v>130.26</v>
      </c>
      <c r="X34" s="6" t="n">
        <v>123.14</v>
      </c>
      <c r="Y34" s="6" t="n">
        <v>132.21</v>
      </c>
      <c r="Z34" s="6" t="n">
        <v>136.62</v>
      </c>
      <c r="AA34" s="6" t="n">
        <v>118.42</v>
      </c>
      <c r="AB34" s="6" t="n">
        <v>133.53</v>
      </c>
      <c r="AC34" s="6" t="n">
        <v>113.8</v>
      </c>
      <c r="AD34" s="6" t="n">
        <v>133.2</v>
      </c>
      <c r="AE34" s="6" t="n">
        <v>156.97</v>
      </c>
      <c r="AF34" s="6" t="n">
        <v>135.19</v>
      </c>
      <c r="AG34" s="6" t="n">
        <v>136.42</v>
      </c>
      <c r="AH34" s="6" t="n">
        <v>126.3</v>
      </c>
      <c r="AI34" s="6" t="n">
        <v>127.52</v>
      </c>
      <c r="AJ34" s="6" t="n">
        <v>124.95</v>
      </c>
      <c r="AK34" s="6" t="n">
        <v>133.39</v>
      </c>
      <c r="AL34" s="6" t="n">
        <v>145.26</v>
      </c>
    </row>
    <row r="35">
      <c r="A35" s="3" t="inlineStr">
        <is>
          <t>대전안과</t>
        </is>
      </c>
      <c r="B35" s="3" t="inlineStr">
        <is>
          <t>지역명+진료과</t>
        </is>
      </c>
      <c r="C35" s="6" t="n">
        <v>69.91</v>
      </c>
      <c r="D35" s="6" t="n">
        <v>66.08</v>
      </c>
      <c r="E35" s="6" t="n">
        <v>45.73</v>
      </c>
      <c r="F35" s="6" t="n">
        <v>73.25</v>
      </c>
      <c r="G35" s="6" t="n">
        <v>61.48</v>
      </c>
      <c r="H35" s="6" t="n">
        <v>57.74</v>
      </c>
      <c r="I35" s="6" t="n">
        <v>77.15000000000001</v>
      </c>
      <c r="J35" s="6" t="n">
        <v>64.5</v>
      </c>
      <c r="K35" s="6" t="n">
        <v>73.38</v>
      </c>
      <c r="L35" s="6" t="n">
        <v>59.36</v>
      </c>
      <c r="M35" s="6" t="n">
        <v>63.01</v>
      </c>
      <c r="N35" s="6" t="n">
        <v>61.03</v>
      </c>
      <c r="O35" s="6" t="n">
        <v>62.84</v>
      </c>
      <c r="P35" s="6" t="n">
        <v>53.42</v>
      </c>
      <c r="Q35" s="6" t="n">
        <v>46.42</v>
      </c>
      <c r="R35" s="6" t="n">
        <v>44.9</v>
      </c>
      <c r="S35" s="6" t="n">
        <v>57.19</v>
      </c>
      <c r="T35" s="6" t="n">
        <v>45.93</v>
      </c>
      <c r="U35" s="6" t="n">
        <v>52.95</v>
      </c>
      <c r="V35" s="6" t="n">
        <v>51.8</v>
      </c>
      <c r="W35" s="6" t="n">
        <v>57.21</v>
      </c>
      <c r="X35" s="6" t="n">
        <v>49.62</v>
      </c>
      <c r="Y35" s="6" t="n">
        <v>45.67</v>
      </c>
      <c r="Z35" s="6" t="n">
        <v>52.5</v>
      </c>
      <c r="AA35" s="6" t="n">
        <v>47.72</v>
      </c>
      <c r="AB35" s="6" t="n">
        <v>63.53</v>
      </c>
      <c r="AC35" s="6" t="n">
        <v>41.77</v>
      </c>
      <c r="AD35" s="6" t="n">
        <v>46.78</v>
      </c>
      <c r="AE35" s="6" t="n">
        <v>43.78</v>
      </c>
      <c r="AF35" s="6" t="n">
        <v>47.02</v>
      </c>
      <c r="AG35" s="6" t="n">
        <v>44.19</v>
      </c>
      <c r="AH35" s="6" t="n">
        <v>47.35</v>
      </c>
      <c r="AI35" s="6" t="n">
        <v>46.94</v>
      </c>
      <c r="AJ35" s="6" t="n">
        <v>49.03</v>
      </c>
      <c r="AK35" s="6" t="n">
        <v>53.45</v>
      </c>
      <c r="AL35" s="6" t="n">
        <v>54.83</v>
      </c>
    </row>
    <row r="36">
      <c r="A36" s="3" t="inlineStr">
        <is>
          <t>울산안과</t>
        </is>
      </c>
      <c r="B36" s="3" t="inlineStr">
        <is>
          <t>지역명+진료과</t>
        </is>
      </c>
      <c r="C36" s="6" t="n">
        <v>37.81</v>
      </c>
      <c r="D36" s="6" t="n">
        <v>38.52</v>
      </c>
      <c r="E36" s="6" t="n">
        <v>66.95</v>
      </c>
      <c r="F36" s="6" t="n">
        <v>50.18</v>
      </c>
      <c r="G36" s="6" t="n">
        <v>44.08</v>
      </c>
      <c r="H36" s="6" t="n">
        <v>47.24</v>
      </c>
      <c r="I36" s="6" t="n">
        <v>43.12</v>
      </c>
      <c r="J36" s="6" t="n">
        <v>41.74</v>
      </c>
      <c r="K36" s="6" t="n">
        <v>44.63</v>
      </c>
      <c r="L36" s="6" t="n">
        <v>38.42</v>
      </c>
      <c r="M36" s="6" t="n">
        <v>36.86</v>
      </c>
      <c r="N36" s="6" t="n">
        <v>37.83</v>
      </c>
      <c r="O36" s="6" t="n">
        <v>39.04</v>
      </c>
      <c r="P36" s="6" t="n">
        <v>35.03</v>
      </c>
      <c r="Q36" s="6" t="n">
        <v>29.16</v>
      </c>
      <c r="R36" s="6" t="n">
        <v>32.27</v>
      </c>
      <c r="S36" s="6" t="n">
        <v>36.08</v>
      </c>
      <c r="T36" s="6" t="n">
        <v>32.09</v>
      </c>
      <c r="U36" s="6" t="n">
        <v>35</v>
      </c>
      <c r="V36" s="6" t="n">
        <v>38.82</v>
      </c>
      <c r="W36" s="6" t="n">
        <v>51.38</v>
      </c>
      <c r="X36" s="6" t="n">
        <v>51.08</v>
      </c>
      <c r="Y36" s="6" t="n">
        <v>38.7</v>
      </c>
      <c r="Z36" s="6" t="n">
        <v>37.6</v>
      </c>
      <c r="AA36" s="6" t="n">
        <v>32.52</v>
      </c>
      <c r="AB36" s="6" t="n">
        <v>42.05</v>
      </c>
      <c r="AC36" s="6" t="n">
        <v>30.05</v>
      </c>
      <c r="AD36" s="6" t="n">
        <v>41.95</v>
      </c>
      <c r="AE36" s="6" t="n">
        <v>59.2</v>
      </c>
      <c r="AF36" s="6" t="n">
        <v>68.8</v>
      </c>
      <c r="AG36" s="6" t="n">
        <v>70.16</v>
      </c>
      <c r="AH36" s="6" t="n">
        <v>60.53</v>
      </c>
      <c r="AI36" s="6" t="n">
        <v>40.12</v>
      </c>
      <c r="AJ36" s="6" t="n">
        <v>44.28</v>
      </c>
      <c r="AK36" s="6" t="n">
        <v>34.57</v>
      </c>
      <c r="AL36" s="6" t="n">
        <v>35.2</v>
      </c>
    </row>
    <row r="37">
      <c r="A37" s="3" t="inlineStr">
        <is>
          <t>서울내과</t>
        </is>
      </c>
      <c r="B37" s="3" t="inlineStr">
        <is>
          <t>지역명+진료과</t>
        </is>
      </c>
      <c r="C37" s="6" t="n">
        <v>78.06</v>
      </c>
      <c r="D37" s="6" t="n">
        <v>107.03</v>
      </c>
      <c r="E37" s="6" t="n">
        <v>98.34</v>
      </c>
      <c r="F37" s="6" t="n">
        <v>118.48</v>
      </c>
      <c r="G37" s="6" t="n">
        <v>92.8</v>
      </c>
      <c r="H37" s="6" t="n">
        <v>80.55</v>
      </c>
      <c r="I37" s="6" t="n">
        <v>79.37</v>
      </c>
      <c r="J37" s="6" t="n">
        <v>76.18000000000001</v>
      </c>
      <c r="K37" s="6" t="n">
        <v>79.69</v>
      </c>
      <c r="L37" s="6" t="n">
        <v>74.19</v>
      </c>
      <c r="M37" s="6" t="n">
        <v>83.62</v>
      </c>
      <c r="N37" s="6" t="n">
        <v>95.67</v>
      </c>
      <c r="O37" s="6" t="n">
        <v>77.76000000000001</v>
      </c>
      <c r="P37" s="6" t="n">
        <v>88.59999999999999</v>
      </c>
      <c r="Q37" s="6" t="n">
        <v>80.59999999999999</v>
      </c>
      <c r="R37" s="6" t="n">
        <v>90.78</v>
      </c>
      <c r="S37" s="6" t="n">
        <v>93.38</v>
      </c>
      <c r="T37" s="6" t="n">
        <v>65.88</v>
      </c>
      <c r="U37" s="6" t="n">
        <v>73.47</v>
      </c>
      <c r="V37" s="6" t="n">
        <v>66.02</v>
      </c>
      <c r="W37" s="6" t="n">
        <v>67.70999999999999</v>
      </c>
      <c r="X37" s="6" t="n">
        <v>61.25</v>
      </c>
      <c r="Y37" s="6" t="n">
        <v>64.48999999999999</v>
      </c>
      <c r="Z37" s="6" t="n">
        <v>70.19</v>
      </c>
      <c r="AA37" s="6" t="n">
        <v>69.79000000000001</v>
      </c>
      <c r="AB37" s="6" t="n">
        <v>80.38</v>
      </c>
      <c r="AC37" s="6" t="n">
        <v>77.70999999999999</v>
      </c>
      <c r="AD37" s="6" t="n">
        <v>75.26000000000001</v>
      </c>
      <c r="AE37" s="6" t="n">
        <v>64.84</v>
      </c>
      <c r="AF37" s="6" t="n">
        <v>61.34</v>
      </c>
      <c r="AG37" s="6" t="n">
        <v>60.36</v>
      </c>
      <c r="AH37" s="6" t="n">
        <v>56.74</v>
      </c>
      <c r="AI37" s="6" t="n">
        <v>58.09</v>
      </c>
      <c r="AJ37" s="6" t="n">
        <v>55.11</v>
      </c>
      <c r="AK37" s="6" t="n">
        <v>60.3</v>
      </c>
      <c r="AL37" s="6" t="n">
        <v>66.65000000000001</v>
      </c>
    </row>
    <row r="38">
      <c r="A38" s="3" t="inlineStr">
        <is>
          <t>부산내과</t>
        </is>
      </c>
      <c r="B38" s="3" t="inlineStr">
        <is>
          <t>지역명+진료과</t>
        </is>
      </c>
      <c r="C38" s="6" t="n">
        <v>22.31</v>
      </c>
      <c r="D38" s="6" t="n">
        <v>25.47</v>
      </c>
      <c r="E38" s="6" t="n">
        <v>21.49</v>
      </c>
      <c r="F38" s="6" t="n">
        <v>28.59</v>
      </c>
      <c r="G38" s="6" t="n">
        <v>23.64</v>
      </c>
      <c r="H38" s="6" t="n">
        <v>23.39</v>
      </c>
      <c r="I38" s="6" t="n">
        <v>19.83</v>
      </c>
      <c r="J38" s="6" t="n">
        <v>18.59</v>
      </c>
      <c r="K38" s="6" t="n">
        <v>21.05</v>
      </c>
      <c r="L38" s="6" t="n">
        <v>18.53</v>
      </c>
      <c r="M38" s="6" t="n">
        <v>21.11</v>
      </c>
      <c r="N38" s="6" t="n">
        <v>24</v>
      </c>
      <c r="O38" s="6" t="n">
        <v>19.27</v>
      </c>
      <c r="P38" s="6" t="n">
        <v>19.92</v>
      </c>
      <c r="Q38" s="6" t="n">
        <v>17.11</v>
      </c>
      <c r="R38" s="6" t="n">
        <v>22.97</v>
      </c>
      <c r="S38" s="6" t="n">
        <v>28.15</v>
      </c>
      <c r="T38" s="6" t="n">
        <v>17.38</v>
      </c>
      <c r="U38" s="6" t="n">
        <v>19.7</v>
      </c>
      <c r="V38" s="6" t="n">
        <v>17.77</v>
      </c>
      <c r="W38" s="6" t="n">
        <v>20.8</v>
      </c>
      <c r="X38" s="6" t="n">
        <v>15.88</v>
      </c>
      <c r="Y38" s="6" t="n">
        <v>14.78</v>
      </c>
      <c r="Z38" s="6" t="n">
        <v>16.71</v>
      </c>
      <c r="AA38" s="6" t="n">
        <v>16.69</v>
      </c>
      <c r="AB38" s="6" t="n">
        <v>21.62</v>
      </c>
      <c r="AC38" s="6" t="n">
        <v>15.51</v>
      </c>
      <c r="AD38" s="6" t="n">
        <v>16.75</v>
      </c>
      <c r="AE38" s="6" t="n">
        <v>17.04</v>
      </c>
      <c r="AF38" s="6" t="n">
        <v>23.41</v>
      </c>
      <c r="AG38" s="6" t="n">
        <v>16.92</v>
      </c>
      <c r="AH38" s="6" t="n">
        <v>15.95</v>
      </c>
      <c r="AI38" s="6" t="n">
        <v>18.43</v>
      </c>
      <c r="AJ38" s="6" t="n">
        <v>13.58</v>
      </c>
      <c r="AK38" s="6" t="n">
        <v>14.68</v>
      </c>
      <c r="AL38" s="6" t="n">
        <v>15.5</v>
      </c>
    </row>
    <row r="39">
      <c r="A39" s="3" t="inlineStr">
        <is>
          <t>대구내과</t>
        </is>
      </c>
      <c r="B39" s="3" t="inlineStr">
        <is>
          <t>지역명+진료과</t>
        </is>
      </c>
      <c r="C39" s="6" t="n">
        <v>25.09</v>
      </c>
      <c r="D39" s="6" t="n">
        <v>29.91</v>
      </c>
      <c r="E39" s="6" t="n">
        <v>23.19</v>
      </c>
      <c r="F39" s="6" t="n">
        <v>34.17</v>
      </c>
      <c r="G39" s="6" t="n">
        <v>29.98</v>
      </c>
      <c r="H39" s="6" t="n">
        <v>29.27</v>
      </c>
      <c r="I39" s="6" t="n">
        <v>23.55</v>
      </c>
      <c r="J39" s="6" t="n">
        <v>22.41</v>
      </c>
      <c r="K39" s="6" t="n">
        <v>24.42</v>
      </c>
      <c r="L39" s="6" t="n">
        <v>21.16</v>
      </c>
      <c r="M39" s="6" t="n">
        <v>21.09</v>
      </c>
      <c r="N39" s="6" t="n">
        <v>25.97</v>
      </c>
      <c r="O39" s="6" t="n">
        <v>26.34</v>
      </c>
      <c r="P39" s="6" t="n">
        <v>24.86</v>
      </c>
      <c r="Q39" s="6" t="n">
        <v>21.54</v>
      </c>
      <c r="R39" s="6" t="n">
        <v>27.78</v>
      </c>
      <c r="S39" s="6" t="n">
        <v>33.01</v>
      </c>
      <c r="T39" s="6" t="n">
        <v>17.9</v>
      </c>
      <c r="U39" s="6" t="n">
        <v>22.07</v>
      </c>
      <c r="V39" s="6" t="n">
        <v>17.75</v>
      </c>
      <c r="W39" s="6" t="n">
        <v>20.03</v>
      </c>
      <c r="X39" s="6" t="n">
        <v>18.85</v>
      </c>
      <c r="Y39" s="6" t="n">
        <v>15.19</v>
      </c>
      <c r="Z39" s="6" t="n">
        <v>18.19</v>
      </c>
      <c r="AA39" s="6" t="n">
        <v>16.49</v>
      </c>
      <c r="AB39" s="6" t="n">
        <v>28.65</v>
      </c>
      <c r="AC39" s="6" t="n">
        <v>20.49</v>
      </c>
      <c r="AD39" s="6" t="n">
        <v>21.65</v>
      </c>
      <c r="AE39" s="6" t="n">
        <v>21.14</v>
      </c>
      <c r="AF39" s="6" t="n">
        <v>30.2</v>
      </c>
      <c r="AG39" s="6" t="n">
        <v>19.2</v>
      </c>
      <c r="AH39" s="6" t="n">
        <v>16.35</v>
      </c>
      <c r="AI39" s="6" t="n">
        <v>21.88</v>
      </c>
      <c r="AJ39" s="6" t="n">
        <v>17.35</v>
      </c>
      <c r="AK39" s="6" t="n">
        <v>17.38</v>
      </c>
      <c r="AL39" s="6" t="n">
        <v>19.84</v>
      </c>
    </row>
    <row r="40">
      <c r="A40" s="3" t="inlineStr">
        <is>
          <t>인천내과</t>
        </is>
      </c>
      <c r="B40" s="3" t="inlineStr">
        <is>
          <t>지역명+진료과</t>
        </is>
      </c>
      <c r="C40" s="6" t="n">
        <v>13.12</v>
      </c>
      <c r="D40" s="6" t="n">
        <v>13.46</v>
      </c>
      <c r="E40" s="6" t="n">
        <v>12.04</v>
      </c>
      <c r="F40" s="6" t="n">
        <v>15.38</v>
      </c>
      <c r="G40" s="6" t="n">
        <v>13.54</v>
      </c>
      <c r="H40" s="6" t="n">
        <v>13.71</v>
      </c>
      <c r="I40" s="6" t="n">
        <v>11.38</v>
      </c>
      <c r="J40" s="6" t="n">
        <v>12.72</v>
      </c>
      <c r="K40" s="6" t="n">
        <v>16.39</v>
      </c>
      <c r="L40" s="6" t="n">
        <v>10.38</v>
      </c>
      <c r="M40" s="6" t="n">
        <v>11.25</v>
      </c>
      <c r="N40" s="6" t="n">
        <v>13.11</v>
      </c>
      <c r="O40" s="6" t="n">
        <v>11.4</v>
      </c>
      <c r="P40" s="6" t="n">
        <v>10.97</v>
      </c>
      <c r="Q40" s="6" t="n">
        <v>8.19</v>
      </c>
      <c r="R40" s="6" t="n">
        <v>11.56</v>
      </c>
      <c r="S40" s="6" t="n">
        <v>15.06</v>
      </c>
      <c r="T40" s="6" t="n">
        <v>8.859999999999999</v>
      </c>
      <c r="U40" s="6" t="n">
        <v>11.21</v>
      </c>
      <c r="V40" s="6" t="n">
        <v>8.66</v>
      </c>
      <c r="W40" s="6" t="n">
        <v>10</v>
      </c>
      <c r="X40" s="6" t="n">
        <v>8.66</v>
      </c>
      <c r="Y40" s="6" t="n">
        <v>8.550000000000001</v>
      </c>
      <c r="Z40" s="6" t="n">
        <v>8.93</v>
      </c>
      <c r="AA40" s="6" t="n">
        <v>16.13</v>
      </c>
      <c r="AB40" s="6" t="n">
        <v>15.74</v>
      </c>
      <c r="AC40" s="6" t="n">
        <v>14.29</v>
      </c>
      <c r="AD40" s="6" t="n">
        <v>15.75</v>
      </c>
      <c r="AE40" s="6" t="n">
        <v>15.01</v>
      </c>
      <c r="AF40" s="6" t="n">
        <v>13.2</v>
      </c>
      <c r="AG40" s="6" t="n">
        <v>8.26</v>
      </c>
      <c r="AH40" s="6" t="n">
        <v>7.95</v>
      </c>
      <c r="AI40" s="6" t="n">
        <v>8.720000000000001</v>
      </c>
      <c r="AJ40" s="6" t="n">
        <v>7.21</v>
      </c>
      <c r="AK40" s="6" t="n">
        <v>8.02</v>
      </c>
      <c r="AL40" s="6" t="n">
        <v>8.140000000000001</v>
      </c>
    </row>
    <row r="41">
      <c r="A41" s="3" t="inlineStr">
        <is>
          <t>광주내과</t>
        </is>
      </c>
      <c r="B41" s="3" t="inlineStr">
        <is>
          <t>지역명+진료과</t>
        </is>
      </c>
      <c r="C41" s="6" t="n">
        <v>20.17</v>
      </c>
      <c r="D41" s="6" t="n">
        <v>22.01</v>
      </c>
      <c r="E41" s="6" t="n">
        <v>18.92</v>
      </c>
      <c r="F41" s="6" t="n">
        <v>22.88</v>
      </c>
      <c r="G41" s="6" t="n">
        <v>21.81</v>
      </c>
      <c r="H41" s="6" t="n">
        <v>21.11</v>
      </c>
      <c r="I41" s="6" t="n">
        <v>18.93</v>
      </c>
      <c r="J41" s="6" t="n">
        <v>19.27</v>
      </c>
      <c r="K41" s="6" t="n">
        <v>20.32</v>
      </c>
      <c r="L41" s="6" t="n">
        <v>17.86</v>
      </c>
      <c r="M41" s="6" t="n">
        <v>18.38</v>
      </c>
      <c r="N41" s="6" t="n">
        <v>22.38</v>
      </c>
      <c r="O41" s="6" t="n">
        <v>20.7</v>
      </c>
      <c r="P41" s="6" t="n">
        <v>18.93</v>
      </c>
      <c r="Q41" s="6" t="n">
        <v>17.77</v>
      </c>
      <c r="R41" s="6" t="n">
        <v>22.45</v>
      </c>
      <c r="S41" s="6" t="n">
        <v>25.48</v>
      </c>
      <c r="T41" s="6" t="n">
        <v>15.28</v>
      </c>
      <c r="U41" s="6" t="n">
        <v>17.45</v>
      </c>
      <c r="V41" s="6" t="n">
        <v>15.88</v>
      </c>
      <c r="W41" s="6" t="n">
        <v>17.11</v>
      </c>
      <c r="X41" s="6" t="n">
        <v>14.92</v>
      </c>
      <c r="Y41" s="6" t="n">
        <v>14.9</v>
      </c>
      <c r="Z41" s="6" t="n">
        <v>16.97</v>
      </c>
      <c r="AA41" s="6" t="n">
        <v>15.73</v>
      </c>
      <c r="AB41" s="6" t="n">
        <v>20.46</v>
      </c>
      <c r="AC41" s="6" t="n">
        <v>17.25</v>
      </c>
      <c r="AD41" s="6" t="n">
        <v>16.08</v>
      </c>
      <c r="AE41" s="6" t="n">
        <v>17.82</v>
      </c>
      <c r="AF41" s="6" t="n">
        <v>20.39</v>
      </c>
      <c r="AG41" s="6" t="n">
        <v>17.22</v>
      </c>
      <c r="AH41" s="6" t="n">
        <v>17.17</v>
      </c>
      <c r="AI41" s="6" t="n">
        <v>20.53</v>
      </c>
      <c r="AJ41" s="6" t="n">
        <v>16.46</v>
      </c>
      <c r="AK41" s="6" t="n">
        <v>15.09</v>
      </c>
      <c r="AL41" s="6" t="n">
        <v>17.16</v>
      </c>
    </row>
    <row r="42">
      <c r="A42" s="3" t="inlineStr">
        <is>
          <t>대전내과</t>
        </is>
      </c>
      <c r="B42" s="3" t="inlineStr">
        <is>
          <t>지역명+진료과</t>
        </is>
      </c>
      <c r="C42" s="6" t="n">
        <v>36.58</v>
      </c>
      <c r="D42" s="6" t="n">
        <v>42.39</v>
      </c>
      <c r="E42" s="6" t="n">
        <v>33.82</v>
      </c>
      <c r="F42" s="6" t="n">
        <v>46.38</v>
      </c>
      <c r="G42" s="6" t="n">
        <v>41</v>
      </c>
      <c r="H42" s="6" t="n">
        <v>41.08</v>
      </c>
      <c r="I42" s="6" t="n">
        <v>35.15</v>
      </c>
      <c r="J42" s="6" t="n">
        <v>34.1</v>
      </c>
      <c r="K42" s="6" t="n">
        <v>39.36</v>
      </c>
      <c r="L42" s="6" t="n">
        <v>35.13</v>
      </c>
      <c r="M42" s="6" t="n">
        <v>36.84</v>
      </c>
      <c r="N42" s="6" t="n">
        <v>41.64</v>
      </c>
      <c r="O42" s="6" t="n">
        <v>41.08</v>
      </c>
      <c r="P42" s="6" t="n">
        <v>36.71</v>
      </c>
      <c r="Q42" s="6" t="n">
        <v>30.28</v>
      </c>
      <c r="R42" s="6" t="n">
        <v>38.89</v>
      </c>
      <c r="S42" s="6" t="n">
        <v>45.55</v>
      </c>
      <c r="T42" s="6" t="n">
        <v>26.81</v>
      </c>
      <c r="U42" s="6" t="n">
        <v>30.25</v>
      </c>
      <c r="V42" s="6" t="n">
        <v>25.67</v>
      </c>
      <c r="W42" s="6" t="n">
        <v>29.45</v>
      </c>
      <c r="X42" s="6" t="n">
        <v>29.66</v>
      </c>
      <c r="Y42" s="6" t="n">
        <v>25.03</v>
      </c>
      <c r="Z42" s="6" t="n">
        <v>28.03</v>
      </c>
      <c r="AA42" s="6" t="n">
        <v>26.47</v>
      </c>
      <c r="AB42" s="6" t="n">
        <v>34.41</v>
      </c>
      <c r="AC42" s="6" t="n">
        <v>27.71</v>
      </c>
      <c r="AD42" s="6" t="n">
        <v>27.22</v>
      </c>
      <c r="AE42" s="6" t="n">
        <v>26.73</v>
      </c>
      <c r="AF42" s="6" t="n">
        <v>32.63</v>
      </c>
      <c r="AG42" s="6" t="n">
        <v>28.57</v>
      </c>
      <c r="AH42" s="6" t="n">
        <v>24.48</v>
      </c>
      <c r="AI42" s="6" t="n">
        <v>29.66</v>
      </c>
      <c r="AJ42" s="6" t="n">
        <v>26.98</v>
      </c>
      <c r="AK42" s="6" t="n">
        <v>26.26</v>
      </c>
      <c r="AL42" s="6" t="n">
        <v>27.21</v>
      </c>
    </row>
    <row r="43">
      <c r="A43" s="3" t="inlineStr">
        <is>
          <t>울산내과</t>
        </is>
      </c>
      <c r="B43" s="3" t="inlineStr">
        <is>
          <t>지역명+진료과</t>
        </is>
      </c>
      <c r="C43" s="6" t="n">
        <v>31.64</v>
      </c>
      <c r="D43" s="6" t="n">
        <v>37.81</v>
      </c>
      <c r="E43" s="6" t="n">
        <v>34.39</v>
      </c>
      <c r="F43" s="6" t="n">
        <v>45.51</v>
      </c>
      <c r="G43" s="6" t="n">
        <v>41.85</v>
      </c>
      <c r="H43" s="6" t="n">
        <v>35.25</v>
      </c>
      <c r="I43" s="6" t="n">
        <v>29.57</v>
      </c>
      <c r="J43" s="6" t="n">
        <v>29.18</v>
      </c>
      <c r="K43" s="6" t="n">
        <v>32.56</v>
      </c>
      <c r="L43" s="6" t="n">
        <v>25.52</v>
      </c>
      <c r="M43" s="6" t="n">
        <v>28.83</v>
      </c>
      <c r="N43" s="6" t="n">
        <v>34.38</v>
      </c>
      <c r="O43" s="6" t="n">
        <v>27.88</v>
      </c>
      <c r="P43" s="6" t="n">
        <v>28.26</v>
      </c>
      <c r="Q43" s="6" t="n">
        <v>24.47</v>
      </c>
      <c r="R43" s="6" t="n">
        <v>31.68</v>
      </c>
      <c r="S43" s="6" t="n">
        <v>45.27</v>
      </c>
      <c r="T43" s="6" t="n">
        <v>23.22</v>
      </c>
      <c r="U43" s="6" t="n">
        <v>25.68</v>
      </c>
      <c r="V43" s="6" t="n">
        <v>24.15</v>
      </c>
      <c r="W43" s="6" t="n">
        <v>23.35</v>
      </c>
      <c r="X43" s="6" t="n">
        <v>21.77</v>
      </c>
      <c r="Y43" s="6" t="n">
        <v>20.17</v>
      </c>
      <c r="Z43" s="6" t="n">
        <v>22.55</v>
      </c>
      <c r="AA43" s="6" t="n">
        <v>18.58</v>
      </c>
      <c r="AB43" s="6" t="n">
        <v>28.3</v>
      </c>
      <c r="AC43" s="6" t="n">
        <v>22.6</v>
      </c>
      <c r="AD43" s="6" t="n">
        <v>21.77</v>
      </c>
      <c r="AE43" s="6" t="n">
        <v>25.78</v>
      </c>
      <c r="AF43" s="6" t="n">
        <v>30.64</v>
      </c>
      <c r="AG43" s="6" t="n">
        <v>22.06</v>
      </c>
      <c r="AH43" s="6" t="n">
        <v>19.81</v>
      </c>
      <c r="AI43" s="6" t="n">
        <v>24.74</v>
      </c>
      <c r="AJ43" s="6" t="n">
        <v>21.59</v>
      </c>
      <c r="AK43" s="6" t="n">
        <v>20.31</v>
      </c>
      <c r="AL43" s="6" t="n">
        <v>20.47</v>
      </c>
    </row>
    <row r="44">
      <c r="A44" s="3" t="inlineStr">
        <is>
          <t>서울성형외과</t>
        </is>
      </c>
      <c r="B44" s="3" t="inlineStr">
        <is>
          <t>지역명+진료과</t>
        </is>
      </c>
      <c r="C44" s="6" t="n">
        <v>32.4</v>
      </c>
      <c r="D44" s="6" t="n">
        <v>35.4</v>
      </c>
      <c r="E44" s="6" t="n">
        <v>35.77</v>
      </c>
      <c r="F44" s="6" t="n">
        <v>40.76</v>
      </c>
      <c r="G44" s="6" t="n">
        <v>46.91</v>
      </c>
      <c r="H44" s="6" t="n">
        <v>33.83</v>
      </c>
      <c r="I44" s="6" t="n">
        <v>35.42</v>
      </c>
      <c r="J44" s="6" t="n">
        <v>35.16</v>
      </c>
      <c r="K44" s="6" t="n">
        <v>29.68</v>
      </c>
      <c r="L44" s="6" t="n">
        <v>29.62</v>
      </c>
      <c r="M44" s="6" t="n">
        <v>31.65</v>
      </c>
      <c r="N44" s="6" t="n">
        <v>32.59</v>
      </c>
      <c r="O44" s="6" t="n">
        <v>30.33</v>
      </c>
      <c r="P44" s="6" t="n">
        <v>30.35</v>
      </c>
      <c r="Q44" s="6" t="n">
        <v>35.63</v>
      </c>
      <c r="R44" s="6" t="n">
        <v>41.34</v>
      </c>
      <c r="S44" s="6" t="n">
        <v>45.7</v>
      </c>
      <c r="T44" s="6" t="n">
        <v>36.33</v>
      </c>
      <c r="U44" s="6" t="n">
        <v>31.72</v>
      </c>
      <c r="V44" s="6" t="n">
        <v>29.05</v>
      </c>
      <c r="W44" s="6" t="n">
        <v>27.53</v>
      </c>
      <c r="X44" s="6" t="n">
        <v>26.94</v>
      </c>
      <c r="Y44" s="6" t="n">
        <v>30.05</v>
      </c>
      <c r="Z44" s="6" t="n">
        <v>29.64</v>
      </c>
      <c r="AA44" s="6" t="n">
        <v>27.69</v>
      </c>
      <c r="AB44" s="6" t="n">
        <v>29.94</v>
      </c>
      <c r="AC44" s="6" t="n">
        <v>31.15</v>
      </c>
      <c r="AD44" s="6" t="n">
        <v>34.37</v>
      </c>
      <c r="AE44" s="6" t="n">
        <v>38.99</v>
      </c>
      <c r="AF44" s="6" t="n">
        <v>27.51</v>
      </c>
      <c r="AG44" s="6" t="n">
        <v>26.14</v>
      </c>
      <c r="AH44" s="6" t="n">
        <v>23.82</v>
      </c>
      <c r="AI44" s="6" t="n">
        <v>22.03</v>
      </c>
      <c r="AJ44" s="6" t="n">
        <v>19.87</v>
      </c>
      <c r="AK44" s="6" t="n">
        <v>21.28</v>
      </c>
      <c r="AL44" s="6" t="n">
        <v>20.81</v>
      </c>
    </row>
    <row r="45">
      <c r="A45" s="3" t="inlineStr">
        <is>
          <t>부산성형외과</t>
        </is>
      </c>
      <c r="B45" s="3" t="inlineStr">
        <is>
          <t>지역명+진료과</t>
        </is>
      </c>
      <c r="C45" s="6" t="n">
        <v>39.39</v>
      </c>
      <c r="D45" s="6" t="n">
        <v>39.17</v>
      </c>
      <c r="E45" s="6" t="n">
        <v>46.78</v>
      </c>
      <c r="F45" s="6" t="n">
        <v>53.26</v>
      </c>
      <c r="G45" s="6" t="n">
        <v>92.14</v>
      </c>
      <c r="H45" s="6" t="n">
        <v>51.63</v>
      </c>
      <c r="I45" s="6" t="n">
        <v>48.86</v>
      </c>
      <c r="J45" s="6" t="n">
        <v>78.34999999999999</v>
      </c>
      <c r="K45" s="6" t="n">
        <v>51.95</v>
      </c>
      <c r="L45" s="6" t="n">
        <v>45.24</v>
      </c>
      <c r="M45" s="6" t="n">
        <v>43.41</v>
      </c>
      <c r="N45" s="6" t="n">
        <v>45.72</v>
      </c>
      <c r="O45" s="6" t="n">
        <v>48.42</v>
      </c>
      <c r="P45" s="6" t="n">
        <v>40.98</v>
      </c>
      <c r="Q45" s="6" t="n">
        <v>43.6</v>
      </c>
      <c r="R45" s="6" t="n">
        <v>46.87</v>
      </c>
      <c r="S45" s="6" t="n">
        <v>100.51</v>
      </c>
      <c r="T45" s="6" t="n">
        <v>115.56</v>
      </c>
      <c r="U45" s="6" t="n">
        <v>64.56999999999999</v>
      </c>
      <c r="V45" s="6" t="n">
        <v>101.19</v>
      </c>
      <c r="W45" s="6" t="n">
        <v>96.90000000000001</v>
      </c>
      <c r="X45" s="6" t="n">
        <v>117.16</v>
      </c>
      <c r="Y45" s="6" t="n">
        <v>113.94</v>
      </c>
      <c r="Z45" s="6" t="n">
        <v>113.94</v>
      </c>
      <c r="AA45" s="6" t="n">
        <v>155.19</v>
      </c>
      <c r="AB45" s="6" t="n">
        <v>127.66</v>
      </c>
      <c r="AC45" s="6" t="n">
        <v>100.55</v>
      </c>
      <c r="AD45" s="6" t="n">
        <v>86.93000000000001</v>
      </c>
      <c r="AE45" s="6" t="n">
        <v>59.15</v>
      </c>
      <c r="AF45" s="6" t="n">
        <v>54.49</v>
      </c>
      <c r="AG45" s="6" t="n">
        <v>61.78</v>
      </c>
      <c r="AH45" s="6" t="n">
        <v>65.48999999999999</v>
      </c>
      <c r="AI45" s="6" t="n">
        <v>62.47</v>
      </c>
      <c r="AJ45" s="6" t="n">
        <v>75.77</v>
      </c>
      <c r="AK45" s="6" t="n">
        <v>164.72</v>
      </c>
      <c r="AL45" s="6" t="n">
        <v>144.45</v>
      </c>
    </row>
    <row r="46">
      <c r="A46" s="3" t="inlineStr">
        <is>
          <t>대구성형외과</t>
        </is>
      </c>
      <c r="B46" s="3" t="inlineStr">
        <is>
          <t>지역명+진료과</t>
        </is>
      </c>
      <c r="C46" s="6" t="n">
        <v>99.91</v>
      </c>
      <c r="D46" s="6" t="n">
        <v>89.7</v>
      </c>
      <c r="E46" s="6" t="n">
        <v>104.08</v>
      </c>
      <c r="F46" s="6" t="n">
        <v>105.14</v>
      </c>
      <c r="G46" s="6" t="n">
        <v>111.85</v>
      </c>
      <c r="H46" s="6" t="n">
        <v>88.7</v>
      </c>
      <c r="I46" s="6" t="n">
        <v>85.93000000000001</v>
      </c>
      <c r="J46" s="6" t="n">
        <v>75.64</v>
      </c>
      <c r="K46" s="6" t="n">
        <v>83.65000000000001</v>
      </c>
      <c r="L46" s="6" t="n">
        <v>83.90000000000001</v>
      </c>
      <c r="M46" s="6" t="n">
        <v>82.78</v>
      </c>
      <c r="N46" s="6" t="n">
        <v>93.54000000000001</v>
      </c>
      <c r="O46" s="6" t="n">
        <v>100.08</v>
      </c>
      <c r="P46" s="6" t="n">
        <v>95.31999999999999</v>
      </c>
      <c r="Q46" s="6" t="n">
        <v>111.46</v>
      </c>
      <c r="R46" s="6" t="n">
        <v>133.11</v>
      </c>
      <c r="S46" s="6" t="n">
        <v>161.04</v>
      </c>
      <c r="T46" s="6" t="n">
        <v>181.06</v>
      </c>
      <c r="U46" s="6" t="n">
        <v>126.1</v>
      </c>
      <c r="V46" s="6" t="n">
        <v>97.05</v>
      </c>
      <c r="W46" s="6" t="n">
        <v>116.75</v>
      </c>
      <c r="X46" s="6" t="n">
        <v>205.36</v>
      </c>
      <c r="Y46" s="6" t="n">
        <v>134.21</v>
      </c>
      <c r="Z46" s="6" t="n">
        <v>193.82</v>
      </c>
      <c r="AA46" s="6" t="n">
        <v>136.34</v>
      </c>
      <c r="AB46" s="6" t="n">
        <v>129.06</v>
      </c>
      <c r="AC46" s="6" t="n">
        <v>90.72</v>
      </c>
      <c r="AD46" s="6" t="n">
        <v>99.3</v>
      </c>
      <c r="AE46" s="6" t="n">
        <v>145.63</v>
      </c>
      <c r="AF46" s="6" t="n">
        <v>128.63</v>
      </c>
      <c r="AG46" s="6" t="n">
        <v>258.03</v>
      </c>
      <c r="AH46" s="6" t="n">
        <v>146.42</v>
      </c>
      <c r="AI46" s="6" t="n">
        <v>75.31999999999999</v>
      </c>
      <c r="AJ46" s="6" t="n">
        <v>73.31999999999999</v>
      </c>
      <c r="AK46" s="6" t="n">
        <v>120.23</v>
      </c>
      <c r="AL46" s="6" t="n">
        <v>114.37</v>
      </c>
    </row>
    <row r="47">
      <c r="A47" s="3" t="inlineStr">
        <is>
          <t>인천성형외과</t>
        </is>
      </c>
      <c r="B47" s="3" t="inlineStr">
        <is>
          <t>지역명+진료과</t>
        </is>
      </c>
      <c r="C47" s="6" t="n">
        <v>23.29</v>
      </c>
      <c r="D47" s="6" t="n">
        <v>25.67</v>
      </c>
      <c r="E47" s="6" t="n">
        <v>29.19</v>
      </c>
      <c r="F47" s="6" t="n">
        <v>37.54</v>
      </c>
      <c r="G47" s="6" t="n">
        <v>31.63</v>
      </c>
      <c r="H47" s="6" t="n">
        <v>21.28</v>
      </c>
      <c r="I47" s="6" t="n">
        <v>20.59</v>
      </c>
      <c r="J47" s="6" t="n">
        <v>36.47</v>
      </c>
      <c r="K47" s="6" t="n">
        <v>101.99</v>
      </c>
      <c r="L47" s="6" t="n">
        <v>69.76000000000001</v>
      </c>
      <c r="M47" s="6" t="n">
        <v>35.72</v>
      </c>
      <c r="N47" s="6" t="n">
        <v>35.19</v>
      </c>
      <c r="O47" s="6" t="n">
        <v>40.46</v>
      </c>
      <c r="P47" s="6" t="n">
        <v>23.97</v>
      </c>
      <c r="Q47" s="6" t="n">
        <v>31.57</v>
      </c>
      <c r="R47" s="6" t="n">
        <v>35.3</v>
      </c>
      <c r="S47" s="6" t="n">
        <v>63.33</v>
      </c>
      <c r="T47" s="6" t="n">
        <v>88.92</v>
      </c>
      <c r="U47" s="6" t="n">
        <v>55.12</v>
      </c>
      <c r="V47" s="6" t="n">
        <v>74.79000000000001</v>
      </c>
      <c r="W47" s="6" t="n">
        <v>49.73</v>
      </c>
      <c r="X47" s="6" t="n">
        <v>76.06</v>
      </c>
      <c r="Y47" s="6" t="n">
        <v>70.28</v>
      </c>
      <c r="Z47" s="6" t="n">
        <v>159.36</v>
      </c>
      <c r="AA47" s="6" t="n">
        <v>53.48</v>
      </c>
      <c r="AB47" s="6" t="n">
        <v>30.89</v>
      </c>
      <c r="AC47" s="6" t="n">
        <v>19.05</v>
      </c>
      <c r="AD47" s="6" t="n">
        <v>25.67</v>
      </c>
      <c r="AE47" s="6" t="n">
        <v>22.04</v>
      </c>
      <c r="AF47" s="6" t="n">
        <v>16.42</v>
      </c>
      <c r="AG47" s="6" t="n">
        <v>30.37</v>
      </c>
      <c r="AH47" s="6" t="n">
        <v>28.38</v>
      </c>
      <c r="AI47" s="6" t="n">
        <v>20.23</v>
      </c>
      <c r="AJ47" s="6" t="n">
        <v>23.71</v>
      </c>
      <c r="AK47" s="6" t="n">
        <v>23.63</v>
      </c>
      <c r="AL47" s="6" t="n">
        <v>23.47</v>
      </c>
    </row>
    <row r="48">
      <c r="A48" s="3" t="inlineStr">
        <is>
          <t>광주성형외과</t>
        </is>
      </c>
      <c r="B48" s="3" t="inlineStr">
        <is>
          <t>지역명+진료과</t>
        </is>
      </c>
      <c r="C48" s="6" t="n">
        <v>42.05</v>
      </c>
      <c r="D48" s="6" t="n">
        <v>42.6</v>
      </c>
      <c r="E48" s="6" t="n">
        <v>49.16</v>
      </c>
      <c r="F48" s="6" t="n">
        <v>60.07</v>
      </c>
      <c r="G48" s="6" t="n">
        <v>69.87</v>
      </c>
      <c r="H48" s="6" t="n">
        <v>53.61</v>
      </c>
      <c r="I48" s="6" t="n">
        <v>51.08</v>
      </c>
      <c r="J48" s="6" t="n">
        <v>44.73</v>
      </c>
      <c r="K48" s="6" t="n">
        <v>58.32</v>
      </c>
      <c r="L48" s="6" t="n">
        <v>65.63</v>
      </c>
      <c r="M48" s="6" t="n">
        <v>72.75</v>
      </c>
      <c r="N48" s="6" t="n">
        <v>62.6</v>
      </c>
      <c r="O48" s="6" t="n">
        <v>47.03</v>
      </c>
      <c r="P48" s="6" t="n">
        <v>48.42</v>
      </c>
      <c r="Q48" s="6" t="n">
        <v>51.54</v>
      </c>
      <c r="R48" s="6" t="n">
        <v>58.67</v>
      </c>
      <c r="S48" s="6" t="n">
        <v>64.52</v>
      </c>
      <c r="T48" s="6" t="n">
        <v>50.43</v>
      </c>
      <c r="U48" s="6" t="n">
        <v>48.37</v>
      </c>
      <c r="V48" s="6" t="n">
        <v>44.84</v>
      </c>
      <c r="W48" s="6" t="n">
        <v>44.98</v>
      </c>
      <c r="X48" s="6" t="n">
        <v>46.38</v>
      </c>
      <c r="Y48" s="6" t="n">
        <v>41.29</v>
      </c>
      <c r="Z48" s="6" t="n">
        <v>45.55</v>
      </c>
      <c r="AA48" s="6" t="n">
        <v>81.05</v>
      </c>
      <c r="AB48" s="6" t="n">
        <v>113.06</v>
      </c>
      <c r="AC48" s="6" t="n">
        <v>86.41</v>
      </c>
      <c r="AD48" s="6" t="n">
        <v>108.48</v>
      </c>
      <c r="AE48" s="6" t="n">
        <v>76.56</v>
      </c>
      <c r="AF48" s="6" t="n">
        <v>41.29</v>
      </c>
      <c r="AG48" s="6" t="n">
        <v>40.47</v>
      </c>
      <c r="AH48" s="6" t="n">
        <v>55.74</v>
      </c>
      <c r="AI48" s="6" t="n">
        <v>44.24</v>
      </c>
      <c r="AJ48" s="6" t="n">
        <v>35.16</v>
      </c>
      <c r="AK48" s="6" t="n">
        <v>38.6</v>
      </c>
      <c r="AL48" s="6" t="n">
        <v>44.69</v>
      </c>
    </row>
    <row r="49">
      <c r="A49" s="3" t="inlineStr">
        <is>
          <t>대전성형외과</t>
        </is>
      </c>
      <c r="B49" s="3" t="inlineStr">
        <is>
          <t>지역명+진료과</t>
        </is>
      </c>
      <c r="C49" s="6" t="n">
        <v>36.41</v>
      </c>
      <c r="D49" s="6" t="n">
        <v>37.51</v>
      </c>
      <c r="E49" s="6" t="n">
        <v>41.02</v>
      </c>
      <c r="F49" s="6" t="n">
        <v>45.29</v>
      </c>
      <c r="G49" s="6" t="n">
        <v>45.65</v>
      </c>
      <c r="H49" s="6" t="n">
        <v>38.33</v>
      </c>
      <c r="I49" s="6" t="n">
        <v>37.12</v>
      </c>
      <c r="J49" s="6" t="n">
        <v>33.29</v>
      </c>
      <c r="K49" s="6" t="n">
        <v>30.78</v>
      </c>
      <c r="L49" s="6" t="n">
        <v>33.3</v>
      </c>
      <c r="M49" s="6" t="n">
        <v>48.35</v>
      </c>
      <c r="N49" s="6" t="n">
        <v>47.79</v>
      </c>
      <c r="O49" s="6" t="n">
        <v>52.32</v>
      </c>
      <c r="P49" s="6" t="n">
        <v>48.08</v>
      </c>
      <c r="Q49" s="6" t="n">
        <v>50.05</v>
      </c>
      <c r="R49" s="6" t="n">
        <v>52.33</v>
      </c>
      <c r="S49" s="6" t="n">
        <v>57.41</v>
      </c>
      <c r="T49" s="6" t="n">
        <v>43.68</v>
      </c>
      <c r="U49" s="6" t="n">
        <v>72.81999999999999</v>
      </c>
      <c r="V49" s="6" t="n">
        <v>61.06</v>
      </c>
      <c r="W49" s="6" t="n">
        <v>61.16</v>
      </c>
      <c r="X49" s="6" t="n">
        <v>49.23</v>
      </c>
      <c r="Y49" s="6" t="n">
        <v>75.33</v>
      </c>
      <c r="Z49" s="6" t="n">
        <v>57.39</v>
      </c>
      <c r="AA49" s="6" t="n">
        <v>60.5</v>
      </c>
      <c r="AB49" s="6" t="n">
        <v>59.98</v>
      </c>
      <c r="AC49" s="6" t="n">
        <v>64.78</v>
      </c>
      <c r="AD49" s="6" t="n">
        <v>73.39</v>
      </c>
      <c r="AE49" s="6" t="n">
        <v>86</v>
      </c>
      <c r="AF49" s="6" t="n">
        <v>49.59</v>
      </c>
      <c r="AG49" s="6" t="n">
        <v>55.07</v>
      </c>
      <c r="AH49" s="6" t="n">
        <v>42.93</v>
      </c>
      <c r="AI49" s="6" t="n">
        <v>48.43</v>
      </c>
      <c r="AJ49" s="6" t="n">
        <v>40.88</v>
      </c>
      <c r="AK49" s="6" t="n">
        <v>39.99</v>
      </c>
      <c r="AL49" s="6" t="n">
        <v>39.29</v>
      </c>
    </row>
    <row r="50">
      <c r="A50" s="3" t="inlineStr">
        <is>
          <t>울산성형외과</t>
        </is>
      </c>
      <c r="B50" s="3" t="inlineStr">
        <is>
          <t>지역명+진료과</t>
        </is>
      </c>
      <c r="C50" s="6" t="n">
        <v>22.88</v>
      </c>
      <c r="D50" s="6" t="n">
        <v>23.03</v>
      </c>
      <c r="E50" s="6" t="n">
        <v>24</v>
      </c>
      <c r="F50" s="6" t="n">
        <v>27.01</v>
      </c>
      <c r="G50" s="6" t="n">
        <v>28.42</v>
      </c>
      <c r="H50" s="6" t="n">
        <v>23.96</v>
      </c>
      <c r="I50" s="6" t="n">
        <v>25.12</v>
      </c>
      <c r="J50" s="6" t="n">
        <v>30.45</v>
      </c>
      <c r="K50" s="6" t="n">
        <v>34.97</v>
      </c>
      <c r="L50" s="6" t="n">
        <v>32.1</v>
      </c>
      <c r="M50" s="6" t="n">
        <v>32.49</v>
      </c>
      <c r="N50" s="6" t="n">
        <v>35.3</v>
      </c>
      <c r="O50" s="6" t="n">
        <v>27.45</v>
      </c>
      <c r="P50" s="6" t="n">
        <v>23.52</v>
      </c>
      <c r="Q50" s="6" t="n">
        <v>21.78</v>
      </c>
      <c r="R50" s="6" t="n">
        <v>24.32</v>
      </c>
      <c r="S50" s="6" t="n">
        <v>25.13</v>
      </c>
      <c r="T50" s="6" t="n">
        <v>22.42</v>
      </c>
      <c r="U50" s="6" t="n">
        <v>21.95</v>
      </c>
      <c r="V50" s="6" t="n">
        <v>19.84</v>
      </c>
      <c r="W50" s="6" t="n">
        <v>20.62</v>
      </c>
      <c r="X50" s="6" t="n">
        <v>20.68</v>
      </c>
      <c r="Y50" s="6" t="n">
        <v>20.65</v>
      </c>
      <c r="Z50" s="6" t="n">
        <v>21.47</v>
      </c>
      <c r="AA50" s="6" t="n">
        <v>19.51</v>
      </c>
      <c r="AB50" s="6" t="n">
        <v>22.23</v>
      </c>
      <c r="AC50" s="6" t="n">
        <v>19.66</v>
      </c>
      <c r="AD50" s="6" t="n">
        <v>27.65</v>
      </c>
      <c r="AE50" s="6" t="n">
        <v>27.51</v>
      </c>
      <c r="AF50" s="6" t="n">
        <v>21.58</v>
      </c>
      <c r="AG50" s="6" t="n">
        <v>18.95</v>
      </c>
      <c r="AH50" s="6" t="n">
        <v>17.44</v>
      </c>
      <c r="AI50" s="6" t="n">
        <v>17.99</v>
      </c>
      <c r="AJ50" s="6" t="n">
        <v>16.49</v>
      </c>
      <c r="AK50" s="6" t="n">
        <v>18.06</v>
      </c>
      <c r="AL50" s="6" t="n">
        <v>16.85</v>
      </c>
    </row>
    <row r="51">
      <c r="A51" s="3" t="inlineStr">
        <is>
          <t>수원피부과</t>
        </is>
      </c>
      <c r="B51" s="3" t="inlineStr">
        <is>
          <t>중소도시</t>
        </is>
      </c>
      <c r="C51" s="6" t="n">
        <v>95.64</v>
      </c>
      <c r="D51" s="6" t="n">
        <v>101.26</v>
      </c>
      <c r="E51" s="6" t="n">
        <v>95.45999999999999</v>
      </c>
      <c r="F51" s="6" t="n">
        <v>131.54</v>
      </c>
      <c r="G51" s="6" t="n">
        <v>135.38</v>
      </c>
      <c r="H51" s="6" t="n">
        <v>128.52</v>
      </c>
      <c r="I51" s="6" t="n">
        <v>129.81</v>
      </c>
      <c r="J51" s="6" t="n">
        <v>131.44</v>
      </c>
      <c r="K51" s="6" t="n">
        <v>157.26</v>
      </c>
      <c r="L51" s="6" t="n">
        <v>136.53</v>
      </c>
      <c r="M51" s="6" t="n">
        <v>141.01</v>
      </c>
      <c r="N51" s="6" t="n">
        <v>196.5</v>
      </c>
      <c r="O51" s="6" t="n">
        <v>133.66</v>
      </c>
      <c r="P51" s="6" t="n">
        <v>126.26</v>
      </c>
      <c r="Q51" s="6" t="n">
        <v>116.81</v>
      </c>
      <c r="R51" s="6" t="n">
        <v>138.39</v>
      </c>
      <c r="S51" s="6" t="n">
        <v>223.78</v>
      </c>
      <c r="T51" s="6" t="n">
        <v>417.27</v>
      </c>
      <c r="U51" s="6" t="n">
        <v>193.88</v>
      </c>
      <c r="V51" s="6" t="n">
        <v>141.22</v>
      </c>
      <c r="W51" s="6" t="n">
        <v>275.99</v>
      </c>
      <c r="X51" s="6" t="n">
        <v>348.89</v>
      </c>
      <c r="Y51" s="6" t="n">
        <v>327.1</v>
      </c>
      <c r="Z51" s="6" t="n">
        <v>247.85</v>
      </c>
      <c r="AA51" s="6" t="n">
        <v>293.94</v>
      </c>
      <c r="AB51" s="6" t="n">
        <v>316.14</v>
      </c>
      <c r="AC51" s="6" t="n">
        <v>217.29</v>
      </c>
      <c r="AD51" s="6" t="n">
        <v>170.42</v>
      </c>
      <c r="AE51" s="6" t="n">
        <v>169.23</v>
      </c>
      <c r="AF51" s="6" t="n">
        <v>141.26</v>
      </c>
      <c r="AG51" s="6" t="n">
        <v>181.19</v>
      </c>
      <c r="AH51" s="6" t="n">
        <v>146.11</v>
      </c>
      <c r="AI51" s="6" t="n">
        <v>222.29</v>
      </c>
      <c r="AJ51" s="6" t="n">
        <v>198.61</v>
      </c>
      <c r="AK51" s="6" t="n">
        <v>321.7</v>
      </c>
      <c r="AL51" s="6" t="n">
        <v>341.16</v>
      </c>
    </row>
    <row r="52">
      <c r="A52" s="3" t="inlineStr">
        <is>
          <t>창원피부과</t>
        </is>
      </c>
      <c r="B52" s="3" t="inlineStr">
        <is>
          <t>중소도시</t>
        </is>
      </c>
      <c r="C52" s="6" t="n">
        <v>93.58</v>
      </c>
      <c r="D52" s="6" t="n">
        <v>97.42</v>
      </c>
      <c r="E52" s="6" t="n">
        <v>83.84999999999999</v>
      </c>
      <c r="F52" s="6" t="n">
        <v>92.44</v>
      </c>
      <c r="G52" s="6" t="n">
        <v>113.56</v>
      </c>
      <c r="H52" s="6" t="n">
        <v>111.21</v>
      </c>
      <c r="I52" s="6" t="n">
        <v>102.88</v>
      </c>
      <c r="J52" s="6" t="n">
        <v>136.56</v>
      </c>
      <c r="K52" s="6" t="n">
        <v>251.96</v>
      </c>
      <c r="L52" s="6" t="n">
        <v>228.45</v>
      </c>
      <c r="M52" s="6" t="n">
        <v>111.31</v>
      </c>
      <c r="N52" s="6" t="n">
        <v>108.58</v>
      </c>
      <c r="O52" s="6" t="n">
        <v>103.17</v>
      </c>
      <c r="P52" s="6" t="n">
        <v>96.76000000000001</v>
      </c>
      <c r="Q52" s="6" t="n">
        <v>91.89</v>
      </c>
      <c r="R52" s="6" t="n">
        <v>101.62</v>
      </c>
      <c r="S52" s="6" t="n">
        <v>134.89</v>
      </c>
      <c r="T52" s="6" t="n">
        <v>116.81</v>
      </c>
      <c r="U52" s="6" t="n">
        <v>204.56</v>
      </c>
      <c r="V52" s="6" t="n">
        <v>125.35</v>
      </c>
      <c r="W52" s="6" t="n">
        <v>174.97</v>
      </c>
      <c r="X52" s="6" t="n">
        <v>177.1</v>
      </c>
      <c r="Y52" s="6" t="n">
        <v>153.5</v>
      </c>
      <c r="Z52" s="6" t="n">
        <v>246.42</v>
      </c>
      <c r="AA52" s="6" t="n">
        <v>142.33</v>
      </c>
      <c r="AB52" s="6" t="n">
        <v>139.03</v>
      </c>
      <c r="AC52" s="6" t="n">
        <v>106.84</v>
      </c>
      <c r="AD52" s="6" t="n">
        <v>150.19</v>
      </c>
      <c r="AE52" s="6" t="n">
        <v>134.07</v>
      </c>
      <c r="AF52" s="6" t="n">
        <v>112.65</v>
      </c>
      <c r="AG52" s="6" t="n">
        <v>130.29</v>
      </c>
      <c r="AH52" s="6" t="n">
        <v>118.32</v>
      </c>
      <c r="AI52" s="6" t="n">
        <v>123.37</v>
      </c>
      <c r="AJ52" s="6" t="n">
        <v>98.63</v>
      </c>
      <c r="AK52" s="6" t="n">
        <v>187.19</v>
      </c>
      <c r="AL52" s="6" t="n">
        <v>154.05</v>
      </c>
    </row>
    <row r="53">
      <c r="A53" s="3" t="inlineStr">
        <is>
          <t>제주피부과</t>
        </is>
      </c>
      <c r="B53" s="3" t="inlineStr">
        <is>
          <t>중소도시</t>
        </is>
      </c>
      <c r="C53" s="6" t="n">
        <v>34.14</v>
      </c>
      <c r="D53" s="6" t="n">
        <v>38.38</v>
      </c>
      <c r="E53" s="6" t="n">
        <v>33.34</v>
      </c>
      <c r="F53" s="6" t="n">
        <v>36.67</v>
      </c>
      <c r="G53" s="6" t="n">
        <v>44.32</v>
      </c>
      <c r="H53" s="6" t="n">
        <v>41.54</v>
      </c>
      <c r="I53" s="6" t="n">
        <v>43.17</v>
      </c>
      <c r="J53" s="6" t="n">
        <v>42.81</v>
      </c>
      <c r="K53" s="6" t="n">
        <v>46.74</v>
      </c>
      <c r="L53" s="6" t="n">
        <v>46.31</v>
      </c>
      <c r="M53" s="6" t="n">
        <v>46.82</v>
      </c>
      <c r="N53" s="6" t="n">
        <v>43.4</v>
      </c>
      <c r="O53" s="6" t="n">
        <v>39.88</v>
      </c>
      <c r="P53" s="6" t="n">
        <v>34.87</v>
      </c>
      <c r="Q53" s="6" t="n">
        <v>32.66</v>
      </c>
      <c r="R53" s="6" t="n">
        <v>34.82</v>
      </c>
      <c r="S53" s="6" t="n">
        <v>65.11</v>
      </c>
      <c r="T53" s="6" t="n">
        <v>54.02</v>
      </c>
      <c r="U53" s="6" t="n">
        <v>74.42</v>
      </c>
      <c r="V53" s="6" t="n">
        <v>65.08</v>
      </c>
      <c r="W53" s="6" t="n">
        <v>53.49</v>
      </c>
      <c r="X53" s="6" t="n">
        <v>66.37</v>
      </c>
      <c r="Y53" s="6" t="n">
        <v>68.03</v>
      </c>
      <c r="Z53" s="6" t="n">
        <v>64.40000000000001</v>
      </c>
      <c r="AA53" s="6" t="n">
        <v>80.95999999999999</v>
      </c>
      <c r="AB53" s="6" t="n">
        <v>53.71</v>
      </c>
      <c r="AC53" s="6" t="n">
        <v>54.87</v>
      </c>
      <c r="AD53" s="6" t="n">
        <v>67.51000000000001</v>
      </c>
      <c r="AE53" s="6" t="n">
        <v>61</v>
      </c>
      <c r="AF53" s="6" t="n">
        <v>41.79</v>
      </c>
      <c r="AG53" s="6" t="n">
        <v>56.47</v>
      </c>
      <c r="AH53" s="6" t="n">
        <v>47.28</v>
      </c>
      <c r="AI53" s="6" t="n">
        <v>50.8</v>
      </c>
      <c r="AJ53" s="6" t="n">
        <v>54.68</v>
      </c>
      <c r="AK53" s="6" t="n">
        <v>50.89</v>
      </c>
      <c r="AL53" s="6" t="n">
        <v>46.47</v>
      </c>
    </row>
    <row r="54">
      <c r="A54" s="3" t="inlineStr">
        <is>
          <t>수원치과</t>
        </is>
      </c>
      <c r="B54" s="3" t="inlineStr">
        <is>
          <t>중소도시</t>
        </is>
      </c>
      <c r="C54" s="6" t="n">
        <v>77.83</v>
      </c>
      <c r="D54" s="6" t="n">
        <v>93.23</v>
      </c>
      <c r="E54" s="6" t="n">
        <v>149.84</v>
      </c>
      <c r="F54" s="6" t="n">
        <v>149.93</v>
      </c>
      <c r="G54" s="6" t="n">
        <v>199.68</v>
      </c>
      <c r="H54" s="6" t="n">
        <v>142.75</v>
      </c>
      <c r="I54" s="6" t="n">
        <v>177.83</v>
      </c>
      <c r="J54" s="6" t="n">
        <v>159.55</v>
      </c>
      <c r="K54" s="6" t="n">
        <v>136.68</v>
      </c>
      <c r="L54" s="6" t="n">
        <v>175.84</v>
      </c>
      <c r="M54" s="6" t="n">
        <v>277.48</v>
      </c>
      <c r="N54" s="6" t="n">
        <v>118.46</v>
      </c>
      <c r="O54" s="6" t="n">
        <v>92.47</v>
      </c>
      <c r="P54" s="6" t="n">
        <v>73.91</v>
      </c>
      <c r="Q54" s="6" t="n">
        <v>75.67</v>
      </c>
      <c r="R54" s="6" t="n">
        <v>79.94</v>
      </c>
      <c r="S54" s="6" t="n">
        <v>170.52</v>
      </c>
      <c r="T54" s="6" t="n">
        <v>191.31</v>
      </c>
      <c r="U54" s="6" t="n">
        <v>205.18</v>
      </c>
      <c r="V54" s="6" t="n">
        <v>174.3</v>
      </c>
      <c r="W54" s="6" t="n">
        <v>185.06</v>
      </c>
      <c r="X54" s="6" t="n">
        <v>143.45</v>
      </c>
      <c r="Y54" s="6" t="n">
        <v>267.79</v>
      </c>
      <c r="Z54" s="6" t="n">
        <v>219.22</v>
      </c>
      <c r="AA54" s="6" t="n">
        <v>238.77</v>
      </c>
      <c r="AB54" s="6" t="n">
        <v>207.66</v>
      </c>
      <c r="AC54" s="6" t="n">
        <v>93.08</v>
      </c>
      <c r="AD54" s="6" t="n">
        <v>146.9</v>
      </c>
      <c r="AE54" s="6" t="n">
        <v>117.66</v>
      </c>
      <c r="AF54" s="6" t="n">
        <v>62.19</v>
      </c>
      <c r="AG54" s="6" t="n">
        <v>173.87</v>
      </c>
      <c r="AH54" s="6" t="n">
        <v>92.94</v>
      </c>
      <c r="AI54" s="6" t="n">
        <v>131.92</v>
      </c>
      <c r="AJ54" s="6" t="n">
        <v>142.28</v>
      </c>
      <c r="AK54" s="6" t="n">
        <v>220.98</v>
      </c>
      <c r="AL54" s="6" t="n">
        <v>244.21</v>
      </c>
    </row>
    <row r="55">
      <c r="A55" s="3" t="inlineStr">
        <is>
          <t>천안치과</t>
        </is>
      </c>
      <c r="B55" s="3" t="inlineStr">
        <is>
          <t>중소도시</t>
        </is>
      </c>
      <c r="C55" s="6" t="n">
        <v>51.52</v>
      </c>
      <c r="D55" s="6" t="n">
        <v>56.92</v>
      </c>
      <c r="E55" s="6" t="n">
        <v>51.98</v>
      </c>
      <c r="F55" s="6" t="n">
        <v>57.26</v>
      </c>
      <c r="G55" s="6" t="n">
        <v>70.06</v>
      </c>
      <c r="H55" s="6" t="n">
        <v>91</v>
      </c>
      <c r="I55" s="6" t="n">
        <v>85.98999999999999</v>
      </c>
      <c r="J55" s="6" t="n">
        <v>108.75</v>
      </c>
      <c r="K55" s="6" t="n">
        <v>96.29000000000001</v>
      </c>
      <c r="L55" s="6" t="n">
        <v>89.36</v>
      </c>
      <c r="M55" s="6" t="n">
        <v>91.84</v>
      </c>
      <c r="N55" s="6" t="n">
        <v>60.49</v>
      </c>
      <c r="O55" s="6" t="n">
        <v>57.08</v>
      </c>
      <c r="P55" s="6" t="n">
        <v>57.85</v>
      </c>
      <c r="Q55" s="6" t="n">
        <v>53.77</v>
      </c>
      <c r="R55" s="6" t="n">
        <v>104.65</v>
      </c>
      <c r="S55" s="6" t="n">
        <v>108.44</v>
      </c>
      <c r="T55" s="6" t="n">
        <v>186.27</v>
      </c>
      <c r="U55" s="6" t="n">
        <v>126.19</v>
      </c>
      <c r="V55" s="6" t="n">
        <v>100.18</v>
      </c>
      <c r="W55" s="6" t="n">
        <v>158.1</v>
      </c>
      <c r="X55" s="6" t="n">
        <v>149.94</v>
      </c>
      <c r="Y55" s="6" t="n">
        <v>455.58</v>
      </c>
      <c r="Z55" s="6" t="n">
        <v>404.46</v>
      </c>
      <c r="AA55" s="6" t="n">
        <v>186.8</v>
      </c>
      <c r="AB55" s="6" t="n">
        <v>108.54</v>
      </c>
      <c r="AC55" s="6" t="n">
        <v>66.66</v>
      </c>
      <c r="AD55" s="6" t="n">
        <v>85.48</v>
      </c>
      <c r="AE55" s="6" t="n">
        <v>78.06999999999999</v>
      </c>
      <c r="AF55" s="6" t="n">
        <v>68.58</v>
      </c>
      <c r="AG55" s="6" t="n">
        <v>80.63</v>
      </c>
      <c r="AH55" s="6" t="n">
        <v>96.09</v>
      </c>
      <c r="AI55" s="6" t="n">
        <v>89.2</v>
      </c>
      <c r="AJ55" s="6" t="n">
        <v>67.95999999999999</v>
      </c>
      <c r="AK55" s="6" t="n">
        <v>67.18000000000001</v>
      </c>
      <c r="AL55" s="6" t="n">
        <v>57.84</v>
      </c>
    </row>
    <row r="56">
      <c r="A56" s="3" t="inlineStr">
        <is>
          <t>청주치과</t>
        </is>
      </c>
      <c r="B56" s="3" t="inlineStr">
        <is>
          <t>중소도시</t>
        </is>
      </c>
      <c r="C56" s="6" t="n">
        <v>77.55</v>
      </c>
      <c r="D56" s="6" t="n">
        <v>113.38</v>
      </c>
      <c r="E56" s="6" t="n">
        <v>92.09</v>
      </c>
      <c r="F56" s="6" t="n">
        <v>73.73</v>
      </c>
      <c r="G56" s="6" t="n">
        <v>82.89</v>
      </c>
      <c r="H56" s="6" t="n">
        <v>91.63</v>
      </c>
      <c r="I56" s="6" t="n">
        <v>82.48999999999999</v>
      </c>
      <c r="J56" s="6" t="n">
        <v>81.95999999999999</v>
      </c>
      <c r="K56" s="6" t="n">
        <v>176.14</v>
      </c>
      <c r="L56" s="6" t="n">
        <v>75.38</v>
      </c>
      <c r="M56" s="6" t="n">
        <v>66.36</v>
      </c>
      <c r="N56" s="6" t="n">
        <v>88.3</v>
      </c>
      <c r="O56" s="6" t="n">
        <v>123.39</v>
      </c>
      <c r="P56" s="6" t="n">
        <v>84.22</v>
      </c>
      <c r="Q56" s="6" t="n">
        <v>86.19</v>
      </c>
      <c r="R56" s="6" t="n">
        <v>170.16</v>
      </c>
      <c r="S56" s="6" t="n">
        <v>181.82</v>
      </c>
      <c r="T56" s="6" t="n">
        <v>175.42</v>
      </c>
      <c r="U56" s="6" t="n">
        <v>307.87</v>
      </c>
      <c r="V56" s="6" t="n">
        <v>227.45</v>
      </c>
      <c r="W56" s="6" t="n">
        <v>374.52</v>
      </c>
      <c r="X56" s="6" t="n">
        <v>261.14</v>
      </c>
      <c r="Y56" s="6" t="n">
        <v>543.91</v>
      </c>
      <c r="Z56" s="6" t="n">
        <v>332.36</v>
      </c>
      <c r="AA56" s="6" t="n">
        <v>215.55</v>
      </c>
      <c r="AB56" s="6" t="n">
        <v>159.91</v>
      </c>
      <c r="AC56" s="6" t="n">
        <v>73.43000000000001</v>
      </c>
      <c r="AD56" s="6" t="n">
        <v>103.4</v>
      </c>
      <c r="AE56" s="6" t="n">
        <v>99.31999999999999</v>
      </c>
      <c r="AF56" s="6" t="n">
        <v>122.07</v>
      </c>
      <c r="AG56" s="6" t="n">
        <v>121.61</v>
      </c>
      <c r="AH56" s="6" t="n">
        <v>46.68</v>
      </c>
      <c r="AI56" s="6" t="n">
        <v>108.05</v>
      </c>
      <c r="AJ56" s="6" t="n">
        <v>123.17</v>
      </c>
      <c r="AK56" s="6" t="n">
        <v>118.37</v>
      </c>
      <c r="AL56" s="6" t="n">
        <v>105.83</v>
      </c>
    </row>
    <row r="57">
      <c r="A57" s="3" t="inlineStr">
        <is>
          <t>수원내과</t>
        </is>
      </c>
      <c r="B57" s="3" t="inlineStr">
        <is>
          <t>중소도시</t>
        </is>
      </c>
      <c r="C57" s="6" t="n">
        <v>21.65</v>
      </c>
      <c r="D57" s="6" t="n">
        <v>24.78</v>
      </c>
      <c r="E57" s="6" t="n">
        <v>21.66</v>
      </c>
      <c r="F57" s="6" t="n">
        <v>27.8</v>
      </c>
      <c r="G57" s="6" t="n">
        <v>24.9</v>
      </c>
      <c r="H57" s="6" t="n">
        <v>23.29</v>
      </c>
      <c r="I57" s="6" t="n">
        <v>20.76</v>
      </c>
      <c r="J57" s="6" t="n">
        <v>17.72</v>
      </c>
      <c r="K57" s="6" t="n">
        <v>19.17</v>
      </c>
      <c r="L57" s="6" t="n">
        <v>19.17</v>
      </c>
      <c r="M57" s="6" t="n">
        <v>20.75</v>
      </c>
      <c r="N57" s="6" t="n">
        <v>24.15</v>
      </c>
      <c r="O57" s="6" t="n">
        <v>21.03</v>
      </c>
      <c r="P57" s="6" t="n">
        <v>21.7</v>
      </c>
      <c r="Q57" s="6" t="n">
        <v>17.48</v>
      </c>
      <c r="R57" s="6" t="n">
        <v>22.29</v>
      </c>
      <c r="S57" s="6" t="n">
        <v>27.65</v>
      </c>
      <c r="T57" s="6" t="n">
        <v>14.95</v>
      </c>
      <c r="U57" s="6" t="n">
        <v>17.71</v>
      </c>
      <c r="V57" s="6" t="n">
        <v>14.72</v>
      </c>
      <c r="W57" s="6" t="n">
        <v>23.54</v>
      </c>
      <c r="X57" s="6" t="n">
        <v>26.29</v>
      </c>
      <c r="Y57" s="6" t="n">
        <v>26.53</v>
      </c>
      <c r="Z57" s="6" t="n">
        <v>23.25</v>
      </c>
      <c r="AA57" s="6" t="n">
        <v>17.68</v>
      </c>
      <c r="AB57" s="6" t="n">
        <v>22.01</v>
      </c>
      <c r="AC57" s="6" t="n">
        <v>19.99</v>
      </c>
      <c r="AD57" s="6" t="n">
        <v>27.65</v>
      </c>
      <c r="AE57" s="6" t="n">
        <v>41.5</v>
      </c>
      <c r="AF57" s="6" t="n">
        <v>23.54</v>
      </c>
      <c r="AG57" s="6" t="n">
        <v>17.58</v>
      </c>
      <c r="AH57" s="6" t="n">
        <v>16.77</v>
      </c>
      <c r="AI57" s="6" t="n">
        <v>16.36</v>
      </c>
      <c r="AJ57" s="6" t="n">
        <v>16.13</v>
      </c>
      <c r="AK57" s="6" t="n">
        <v>30.94</v>
      </c>
      <c r="AL57" s="6" t="n">
        <v>17.85</v>
      </c>
    </row>
    <row r="58">
      <c r="A58" s="3" t="inlineStr">
        <is>
          <t>강남피부과</t>
        </is>
      </c>
      <c r="B58" s="3" t="inlineStr">
        <is>
          <t>상권</t>
        </is>
      </c>
      <c r="C58" s="6" t="n">
        <v>152.98</v>
      </c>
      <c r="D58" s="6" t="n">
        <v>264.92</v>
      </c>
      <c r="E58" s="6" t="n">
        <v>279.05</v>
      </c>
      <c r="F58" s="6" t="n">
        <v>202.43</v>
      </c>
      <c r="G58" s="6" t="n">
        <v>200.58</v>
      </c>
      <c r="H58" s="6" t="n">
        <v>277.89</v>
      </c>
      <c r="I58" s="6" t="n">
        <v>224.2</v>
      </c>
      <c r="J58" s="6" t="n">
        <v>236.53</v>
      </c>
      <c r="K58" s="6" t="n">
        <v>334.97</v>
      </c>
      <c r="L58" s="6" t="n">
        <v>334.91</v>
      </c>
      <c r="M58" s="6" t="n">
        <v>303.7</v>
      </c>
      <c r="N58" s="6" t="n">
        <v>201.22</v>
      </c>
      <c r="O58" s="6" t="n">
        <v>191.76</v>
      </c>
      <c r="P58" s="6" t="n">
        <v>172.04</v>
      </c>
      <c r="Q58" s="6" t="n">
        <v>160.02</v>
      </c>
      <c r="R58" s="6" t="n">
        <v>163.86</v>
      </c>
      <c r="S58" s="6" t="n">
        <v>188.57</v>
      </c>
      <c r="T58" s="6" t="n">
        <v>177.38</v>
      </c>
      <c r="U58" s="6" t="n">
        <v>186.87</v>
      </c>
      <c r="V58" s="6" t="n">
        <v>191.18</v>
      </c>
      <c r="W58" s="6" t="n">
        <v>200.13</v>
      </c>
      <c r="X58" s="6" t="n">
        <v>186.94</v>
      </c>
      <c r="Y58" s="6" t="n">
        <v>216.03</v>
      </c>
      <c r="Z58" s="6" t="n">
        <v>245.86</v>
      </c>
      <c r="AA58" s="6" t="n">
        <v>228.83</v>
      </c>
      <c r="AB58" s="6" t="n">
        <v>193.86</v>
      </c>
      <c r="AC58" s="6" t="n">
        <v>166.61</v>
      </c>
      <c r="AD58" s="6" t="n">
        <v>175.94</v>
      </c>
      <c r="AE58" s="6" t="n">
        <v>192.6</v>
      </c>
      <c r="AF58" s="6" t="n">
        <v>174.98</v>
      </c>
      <c r="AG58" s="6" t="n">
        <v>197.84</v>
      </c>
      <c r="AH58" s="6" t="n">
        <v>211.47</v>
      </c>
      <c r="AI58" s="6" t="n">
        <v>268.24</v>
      </c>
      <c r="AJ58" s="6" t="n">
        <v>256.49</v>
      </c>
      <c r="AK58" s="6" t="n">
        <v>183.49</v>
      </c>
      <c r="AL58" s="6" t="n">
        <v>203.34</v>
      </c>
    </row>
    <row r="59">
      <c r="A59" s="3" t="inlineStr">
        <is>
          <t>강남치과</t>
        </is>
      </c>
      <c r="B59" s="3" t="inlineStr">
        <is>
          <t>상권</t>
        </is>
      </c>
      <c r="C59" s="6" t="n">
        <v>47.21</v>
      </c>
      <c r="D59" s="6" t="n">
        <v>145.32</v>
      </c>
      <c r="E59" s="6" t="n">
        <v>254.18</v>
      </c>
      <c r="F59" s="6" t="n">
        <v>96.48999999999999</v>
      </c>
      <c r="G59" s="6" t="n">
        <v>69.75</v>
      </c>
      <c r="H59" s="6" t="n">
        <v>59</v>
      </c>
      <c r="I59" s="6" t="n">
        <v>63.84</v>
      </c>
      <c r="J59" s="6" t="n">
        <v>69.20999999999999</v>
      </c>
      <c r="K59" s="6" t="n">
        <v>57.84</v>
      </c>
      <c r="L59" s="6" t="n">
        <v>133.44</v>
      </c>
      <c r="M59" s="6" t="n">
        <v>98.91</v>
      </c>
      <c r="N59" s="6" t="n">
        <v>101.94</v>
      </c>
      <c r="O59" s="6" t="n">
        <v>99.87</v>
      </c>
      <c r="P59" s="6" t="n">
        <v>62.71</v>
      </c>
      <c r="Q59" s="6" t="n">
        <v>59.41</v>
      </c>
      <c r="R59" s="6" t="n">
        <v>86.93000000000001</v>
      </c>
      <c r="S59" s="6" t="n">
        <v>113.31</v>
      </c>
      <c r="T59" s="6" t="n">
        <v>147.79</v>
      </c>
      <c r="U59" s="6" t="n">
        <v>145.26</v>
      </c>
      <c r="V59" s="6" t="n">
        <v>316.41</v>
      </c>
      <c r="W59" s="6" t="n">
        <v>446.02</v>
      </c>
      <c r="X59" s="6" t="n">
        <v>298.2</v>
      </c>
      <c r="Y59" s="6" t="n">
        <v>542.4299999999999</v>
      </c>
      <c r="Z59" s="6" t="n">
        <v>316.66</v>
      </c>
      <c r="AA59" s="6" t="n">
        <v>193.45</v>
      </c>
      <c r="AB59" s="6" t="n">
        <v>198.76</v>
      </c>
      <c r="AC59" s="6" t="n">
        <v>234.72</v>
      </c>
      <c r="AD59" s="6" t="n">
        <v>146.63</v>
      </c>
      <c r="AE59" s="6" t="n">
        <v>96.02</v>
      </c>
      <c r="AF59" s="6" t="n">
        <v>116.55</v>
      </c>
      <c r="AG59" s="6" t="n">
        <v>101.46</v>
      </c>
      <c r="AH59" s="6" t="n">
        <v>121.96</v>
      </c>
      <c r="AI59" s="6" t="n">
        <v>101.12</v>
      </c>
      <c r="AJ59" s="6" t="n">
        <v>94.68000000000001</v>
      </c>
      <c r="AK59" s="6" t="n">
        <v>137.03</v>
      </c>
      <c r="AL59" s="6" t="n">
        <v>186.44</v>
      </c>
    </row>
    <row r="60">
      <c r="A60" s="3" t="inlineStr">
        <is>
          <t>부평치과</t>
        </is>
      </c>
      <c r="B60" s="3" t="inlineStr">
        <is>
          <t>상권</t>
        </is>
      </c>
      <c r="C60" s="6" t="n">
        <v>47.12</v>
      </c>
      <c r="D60" s="6" t="n">
        <v>164.43</v>
      </c>
      <c r="E60" s="6" t="n">
        <v>231.82</v>
      </c>
      <c r="F60" s="6" t="n">
        <v>135.26</v>
      </c>
      <c r="G60" s="6" t="n">
        <v>140.16</v>
      </c>
      <c r="H60" s="6" t="n">
        <v>89.08</v>
      </c>
      <c r="I60" s="6" t="n">
        <v>88.16</v>
      </c>
      <c r="J60" s="6" t="n">
        <v>64.51000000000001</v>
      </c>
      <c r="K60" s="6" t="n">
        <v>143.03</v>
      </c>
      <c r="L60" s="6" t="n">
        <v>114.14</v>
      </c>
      <c r="M60" s="6" t="n">
        <v>83.95</v>
      </c>
      <c r="N60" s="6" t="n">
        <v>92.34</v>
      </c>
      <c r="O60" s="6" t="n">
        <v>67.39</v>
      </c>
      <c r="P60" s="6" t="n">
        <v>68.86</v>
      </c>
      <c r="Q60" s="6" t="n">
        <v>81.76000000000001</v>
      </c>
      <c r="R60" s="6" t="n">
        <v>55.25</v>
      </c>
      <c r="S60" s="6" t="n">
        <v>56.16</v>
      </c>
      <c r="T60" s="6" t="n">
        <v>62.61</v>
      </c>
      <c r="U60" s="6" t="n">
        <v>104.49</v>
      </c>
      <c r="V60" s="6" t="n">
        <v>142.22</v>
      </c>
      <c r="W60" s="6" t="n">
        <v>223.77</v>
      </c>
      <c r="X60" s="6" t="n">
        <v>186.16</v>
      </c>
      <c r="Y60" s="6" t="n">
        <v>168.84</v>
      </c>
      <c r="Z60" s="6" t="n">
        <v>180.58</v>
      </c>
      <c r="AA60" s="6" t="n">
        <v>220.02</v>
      </c>
      <c r="AB60" s="6" t="n">
        <v>186.55</v>
      </c>
      <c r="AC60" s="6" t="n">
        <v>57.94</v>
      </c>
      <c r="AD60" s="6" t="n">
        <v>70.58</v>
      </c>
      <c r="AE60" s="6" t="n">
        <v>49.43</v>
      </c>
      <c r="AF60" s="6" t="n">
        <v>49.46</v>
      </c>
      <c r="AG60" s="6" t="n">
        <v>61.13</v>
      </c>
      <c r="AH60" s="6" t="n">
        <v>51.36</v>
      </c>
      <c r="AI60" s="6" t="n">
        <v>73.93000000000001</v>
      </c>
      <c r="AJ60" s="6" t="n">
        <v>73.91</v>
      </c>
      <c r="AK60" s="6" t="n">
        <v>74.34</v>
      </c>
      <c r="AL60" s="6" t="n">
        <v>72.39</v>
      </c>
    </row>
    <row r="61">
      <c r="A61" s="3" t="inlineStr">
        <is>
          <t>서면피부과</t>
        </is>
      </c>
      <c r="B61" s="3" t="inlineStr">
        <is>
          <t>상권</t>
        </is>
      </c>
      <c r="C61" s="6" t="n">
        <v>132.85</v>
      </c>
      <c r="D61" s="6" t="n">
        <v>186.75</v>
      </c>
      <c r="E61" s="6" t="n">
        <v>200.09</v>
      </c>
      <c r="F61" s="6" t="n">
        <v>185.5</v>
      </c>
      <c r="G61" s="6" t="n">
        <v>177.42</v>
      </c>
      <c r="H61" s="6" t="n">
        <v>271.05</v>
      </c>
      <c r="I61" s="6" t="n">
        <v>197.69</v>
      </c>
      <c r="J61" s="6" t="n">
        <v>163.95</v>
      </c>
      <c r="K61" s="6" t="n">
        <v>146.04</v>
      </c>
      <c r="L61" s="6" t="n">
        <v>150.64</v>
      </c>
      <c r="M61" s="6" t="n">
        <v>219.79</v>
      </c>
      <c r="N61" s="6" t="n">
        <v>310.76</v>
      </c>
      <c r="O61" s="6" t="n">
        <v>309.88</v>
      </c>
      <c r="P61" s="6" t="n">
        <v>251.2</v>
      </c>
      <c r="Q61" s="6" t="n">
        <v>221.6</v>
      </c>
      <c r="R61" s="6" t="n">
        <v>228.33</v>
      </c>
      <c r="S61" s="6" t="n">
        <v>308.57</v>
      </c>
      <c r="T61" s="6" t="n">
        <v>337.15</v>
      </c>
      <c r="U61" s="6" t="n">
        <v>347.59</v>
      </c>
      <c r="V61" s="6" t="n">
        <v>315.34</v>
      </c>
      <c r="W61" s="6" t="n">
        <v>341.24</v>
      </c>
      <c r="X61" s="6" t="n">
        <v>371.22</v>
      </c>
      <c r="Y61" s="6" t="n">
        <v>241.62</v>
      </c>
      <c r="Z61" s="6" t="n">
        <v>158.75</v>
      </c>
      <c r="AA61" s="6" t="n">
        <v>202.33</v>
      </c>
      <c r="AB61" s="6" t="n">
        <v>254.19</v>
      </c>
      <c r="AC61" s="6" t="n">
        <v>133.26</v>
      </c>
      <c r="AD61" s="6" t="n">
        <v>165.61</v>
      </c>
      <c r="AE61" s="6" t="n">
        <v>155.81</v>
      </c>
      <c r="AF61" s="6" t="n">
        <v>135.68</v>
      </c>
      <c r="AG61" s="6" t="n">
        <v>149.21</v>
      </c>
      <c r="AH61" s="6" t="n">
        <v>129.74</v>
      </c>
      <c r="AI61" s="6" t="n">
        <v>166.07</v>
      </c>
      <c r="AJ61" s="6" t="n">
        <v>165.09</v>
      </c>
      <c r="AK61" s="6" t="n">
        <v>250.05</v>
      </c>
      <c r="AL61" s="6" t="n">
        <v>217.86</v>
      </c>
    </row>
    <row r="62">
      <c r="A62" s="3" t="inlineStr">
        <is>
          <t>피부과</t>
        </is>
      </c>
      <c r="B62" s="3" t="inlineStr">
        <is>
          <t>진료과단독</t>
        </is>
      </c>
      <c r="C62" s="6" t="n">
        <v>5531</v>
      </c>
      <c r="D62" s="6" t="n">
        <v>5883.91</v>
      </c>
      <c r="E62" s="6" t="n">
        <v>4727.99</v>
      </c>
      <c r="F62" s="6" t="n">
        <v>4663.89</v>
      </c>
      <c r="G62" s="6" t="n">
        <v>5275.84</v>
      </c>
      <c r="H62" s="6" t="n">
        <v>5339.55</v>
      </c>
      <c r="I62" s="6" t="n">
        <v>5422.83</v>
      </c>
      <c r="J62" s="6" t="n">
        <v>5729.06</v>
      </c>
      <c r="K62" s="6" t="n">
        <v>6279.98</v>
      </c>
      <c r="L62" s="6" t="n">
        <v>5879.22</v>
      </c>
      <c r="M62" s="6" t="n">
        <v>6188.57</v>
      </c>
      <c r="N62" s="6" t="n">
        <v>6540.61</v>
      </c>
      <c r="O62" s="6" t="n">
        <v>5777.08</v>
      </c>
      <c r="P62" s="6" t="n">
        <v>5233.85</v>
      </c>
      <c r="Q62" s="6" t="n">
        <v>4552.77</v>
      </c>
      <c r="R62" s="6" t="n">
        <v>4668.94</v>
      </c>
      <c r="S62" s="6" t="n">
        <v>5335.97</v>
      </c>
      <c r="T62" s="6" t="n">
        <v>5105.97</v>
      </c>
      <c r="U62" s="6" t="n">
        <v>5415.43</v>
      </c>
      <c r="V62" s="6" t="n">
        <v>5134.69</v>
      </c>
      <c r="W62" s="6" t="n">
        <v>5825.05</v>
      </c>
      <c r="X62" s="6" t="n">
        <v>5760.89</v>
      </c>
      <c r="Y62" s="6" t="n">
        <v>6068.05</v>
      </c>
      <c r="Z62" s="6" t="n">
        <v>6160.54</v>
      </c>
      <c r="AA62" s="6" t="n">
        <v>5369.87</v>
      </c>
      <c r="AB62" s="6" t="n">
        <v>6016.21</v>
      </c>
      <c r="AC62" s="6" t="n">
        <v>4416.21</v>
      </c>
      <c r="AD62" s="6" t="n">
        <v>4573.66</v>
      </c>
      <c r="AE62" s="6" t="n">
        <v>4943.77</v>
      </c>
      <c r="AF62" s="6" t="n">
        <v>4739.8</v>
      </c>
      <c r="AG62" s="6" t="n">
        <v>4894.91</v>
      </c>
      <c r="AH62" s="6" t="n">
        <v>4931.19</v>
      </c>
      <c r="AI62" s="6" t="n">
        <v>5578.79</v>
      </c>
      <c r="AJ62" s="6" t="n">
        <v>5256.58</v>
      </c>
      <c r="AK62" s="6" t="n">
        <v>5418.08</v>
      </c>
      <c r="AL62" s="6" t="n">
        <v>5559.46</v>
      </c>
    </row>
    <row r="63">
      <c r="A63" s="3" t="inlineStr">
        <is>
          <t>치과</t>
        </is>
      </c>
      <c r="B63" s="3" t="inlineStr">
        <is>
          <t>진료과단독</t>
        </is>
      </c>
      <c r="C63" s="6" t="n">
        <v>2778.78</v>
      </c>
      <c r="D63" s="6" t="n">
        <v>3231.47</v>
      </c>
      <c r="E63" s="6" t="n">
        <v>2836.13</v>
      </c>
      <c r="F63" s="6" t="n">
        <v>3139.49</v>
      </c>
      <c r="G63" s="6" t="n">
        <v>3049.9</v>
      </c>
      <c r="H63" s="6" t="n">
        <v>3123.84</v>
      </c>
      <c r="I63" s="6" t="n">
        <v>3047.77</v>
      </c>
      <c r="J63" s="6" t="n">
        <v>2985.71</v>
      </c>
      <c r="K63" s="6" t="n">
        <v>3273.01</v>
      </c>
      <c r="L63" s="6" t="n">
        <v>3003.42</v>
      </c>
      <c r="M63" s="6" t="n">
        <v>3042.98</v>
      </c>
      <c r="N63" s="6" t="n">
        <v>3182.94</v>
      </c>
      <c r="O63" s="6" t="n">
        <v>2856.55</v>
      </c>
      <c r="P63" s="6" t="n">
        <v>2867.21</v>
      </c>
      <c r="Q63" s="6" t="n">
        <v>2659.06</v>
      </c>
      <c r="R63" s="6" t="n">
        <v>2926.4</v>
      </c>
      <c r="S63" s="6" t="n">
        <v>3020.6</v>
      </c>
      <c r="T63" s="6" t="n">
        <v>2854.87</v>
      </c>
      <c r="U63" s="6" t="n">
        <v>2967.55</v>
      </c>
      <c r="V63" s="6" t="n">
        <v>2679.71</v>
      </c>
      <c r="W63" s="6" t="n">
        <v>3001.43</v>
      </c>
      <c r="X63" s="6" t="n">
        <v>2834.1</v>
      </c>
      <c r="Y63" s="6" t="n">
        <v>2938.14</v>
      </c>
      <c r="Z63" s="6" t="n">
        <v>3057.58</v>
      </c>
      <c r="AA63" s="6" t="n">
        <v>2647.49</v>
      </c>
      <c r="AB63" s="6" t="n">
        <v>3106.21</v>
      </c>
      <c r="AC63" s="6" t="n">
        <v>2509.93</v>
      </c>
      <c r="AD63" s="6" t="n">
        <v>2904.95</v>
      </c>
      <c r="AE63" s="6" t="n">
        <v>2673.98</v>
      </c>
      <c r="AF63" s="6" t="n">
        <v>2654.39</v>
      </c>
      <c r="AG63" s="6" t="n">
        <v>2747.39</v>
      </c>
      <c r="AH63" s="6" t="n">
        <v>2504.72</v>
      </c>
      <c r="AI63" s="6" t="n">
        <v>2777.05</v>
      </c>
      <c r="AJ63" s="6" t="n">
        <v>2663.09</v>
      </c>
      <c r="AK63" s="6" t="n">
        <v>2738.33</v>
      </c>
      <c r="AL63" s="6" t="n">
        <v>2913.02</v>
      </c>
    </row>
    <row r="64">
      <c r="A64" s="3" t="inlineStr">
        <is>
          <t>한의원</t>
        </is>
      </c>
      <c r="B64" s="3" t="inlineStr">
        <is>
          <t>진료과단독</t>
        </is>
      </c>
      <c r="C64" s="6" t="n">
        <v>1974.46</v>
      </c>
      <c r="D64" s="6" t="n">
        <v>2294.4</v>
      </c>
      <c r="E64" s="6" t="n">
        <v>1862.68</v>
      </c>
      <c r="F64" s="6" t="n">
        <v>1820.05</v>
      </c>
      <c r="G64" s="6" t="n">
        <v>1932.32</v>
      </c>
      <c r="H64" s="6" t="n">
        <v>1959.88</v>
      </c>
      <c r="I64" s="6" t="n">
        <v>2067.27</v>
      </c>
      <c r="J64" s="6" t="n">
        <v>2101.51</v>
      </c>
      <c r="K64" s="6" t="n">
        <v>2326.48</v>
      </c>
      <c r="L64" s="6" t="n">
        <v>2136.72</v>
      </c>
      <c r="M64" s="6" t="n">
        <v>2190.34</v>
      </c>
      <c r="N64" s="6" t="n">
        <v>2278.98</v>
      </c>
      <c r="O64" s="6" t="n">
        <v>2236.23</v>
      </c>
      <c r="P64" s="6" t="n">
        <v>2145.02</v>
      </c>
      <c r="Q64" s="6" t="n">
        <v>1816.08</v>
      </c>
      <c r="R64" s="6" t="n">
        <v>1750.18</v>
      </c>
      <c r="S64" s="6" t="n">
        <v>1983.34</v>
      </c>
      <c r="T64" s="6" t="n">
        <v>1691.15</v>
      </c>
      <c r="U64" s="6" t="n">
        <v>2001.81</v>
      </c>
      <c r="V64" s="6" t="n">
        <v>1841.13</v>
      </c>
      <c r="W64" s="6" t="n">
        <v>2046.8</v>
      </c>
      <c r="X64" s="6" t="n">
        <v>1943.48</v>
      </c>
      <c r="Y64" s="6" t="n">
        <v>1858.87</v>
      </c>
      <c r="Z64" s="6" t="n">
        <v>1998.03</v>
      </c>
      <c r="AA64" s="6" t="n">
        <v>1813.1</v>
      </c>
      <c r="AB64" s="6" t="n">
        <v>2141.57</v>
      </c>
      <c r="AC64" s="6" t="n">
        <v>1579.58</v>
      </c>
      <c r="AD64" s="6" t="n">
        <v>1591.62</v>
      </c>
      <c r="AE64" s="6" t="n">
        <v>1595.61</v>
      </c>
      <c r="AF64" s="6" t="n">
        <v>1582.33</v>
      </c>
      <c r="AG64" s="6" t="n">
        <v>1696.54</v>
      </c>
      <c r="AH64" s="6" t="n">
        <v>1584.87</v>
      </c>
      <c r="AI64" s="6" t="n">
        <v>1844.45</v>
      </c>
      <c r="AJ64" s="6" t="n">
        <v>1742.45</v>
      </c>
      <c r="AK64" s="6" t="n">
        <v>1725</v>
      </c>
      <c r="AL64" s="6" t="n">
        <v>1804.66</v>
      </c>
    </row>
    <row r="65">
      <c r="A65" s="3" t="inlineStr">
        <is>
          <t>내과</t>
        </is>
      </c>
      <c r="B65" s="3" t="inlineStr">
        <is>
          <t>진료과단독</t>
        </is>
      </c>
      <c r="C65" s="6" t="n">
        <v>5242.87</v>
      </c>
      <c r="D65" s="6" t="n">
        <v>6444.37</v>
      </c>
      <c r="E65" s="6" t="n">
        <v>6399.32</v>
      </c>
      <c r="F65" s="6" t="n">
        <v>7620.84</v>
      </c>
      <c r="G65" s="6" t="n">
        <v>6498.41</v>
      </c>
      <c r="H65" s="6" t="n">
        <v>5430.3</v>
      </c>
      <c r="I65" s="6" t="n">
        <v>5053.49</v>
      </c>
      <c r="J65" s="6" t="n">
        <v>5096.73</v>
      </c>
      <c r="K65" s="6" t="n">
        <v>5302.91</v>
      </c>
      <c r="L65" s="6" t="n">
        <v>4569.34</v>
      </c>
      <c r="M65" s="6" t="n">
        <v>5052.07</v>
      </c>
      <c r="N65" s="6" t="n">
        <v>6210.45</v>
      </c>
      <c r="O65" s="6" t="n">
        <v>4781.13</v>
      </c>
      <c r="P65" s="6" t="n">
        <v>5241.13</v>
      </c>
      <c r="Q65" s="6" t="n">
        <v>4798.78</v>
      </c>
      <c r="R65" s="6" t="n">
        <v>6383.49</v>
      </c>
      <c r="S65" s="6" t="n">
        <v>7072.9</v>
      </c>
      <c r="T65" s="6" t="n">
        <v>4362.95</v>
      </c>
      <c r="U65" s="6" t="n">
        <v>5177.61</v>
      </c>
      <c r="V65" s="6" t="n">
        <v>4627.26</v>
      </c>
      <c r="W65" s="6" t="n">
        <v>4740.43</v>
      </c>
      <c r="X65" s="6" t="n">
        <v>4250.99</v>
      </c>
      <c r="Y65" s="6" t="n">
        <v>4205.29</v>
      </c>
      <c r="Z65" s="6" t="n">
        <v>4632.72</v>
      </c>
      <c r="AA65" s="6" t="n">
        <v>4671.27</v>
      </c>
      <c r="AB65" s="6" t="n">
        <v>5457.3</v>
      </c>
      <c r="AC65" s="6" t="n">
        <v>5594.34</v>
      </c>
      <c r="AD65" s="6" t="n">
        <v>4986.52</v>
      </c>
      <c r="AE65" s="6" t="n">
        <v>4970.24</v>
      </c>
      <c r="AF65" s="6" t="n">
        <v>4701.43</v>
      </c>
      <c r="AG65" s="6" t="n">
        <v>4295.79</v>
      </c>
      <c r="AH65" s="6" t="n">
        <v>4052.54</v>
      </c>
      <c r="AI65" s="6" t="n">
        <v>4181.96</v>
      </c>
      <c r="AJ65" s="6" t="n">
        <v>3786.06</v>
      </c>
      <c r="AK65" s="6" t="n">
        <v>3760.01</v>
      </c>
      <c r="AL65" s="6" t="n">
        <v>4054.07</v>
      </c>
    </row>
    <row r="66">
      <c r="A66" s="3" t="inlineStr">
        <is>
          <t>정형외과</t>
        </is>
      </c>
      <c r="B66" s="3" t="inlineStr">
        <is>
          <t>진료과단독</t>
        </is>
      </c>
      <c r="C66" s="6" t="n">
        <v>5728.09</v>
      </c>
      <c r="D66" s="6" t="n">
        <v>6169.78</v>
      </c>
      <c r="E66" s="6" t="n">
        <v>5123.86</v>
      </c>
      <c r="F66" s="6" t="n">
        <v>4883.25</v>
      </c>
      <c r="G66" s="6" t="n">
        <v>4997.12</v>
      </c>
      <c r="H66" s="6" t="n">
        <v>4980.42</v>
      </c>
      <c r="I66" s="6" t="n">
        <v>5635.19</v>
      </c>
      <c r="J66" s="6" t="n">
        <v>6126.75</v>
      </c>
      <c r="K66" s="6" t="n">
        <v>6874.58</v>
      </c>
      <c r="L66" s="6" t="n">
        <v>6206.42</v>
      </c>
      <c r="M66" s="6" t="n">
        <v>5840.11</v>
      </c>
      <c r="N66" s="6" t="n">
        <v>6027.54</v>
      </c>
      <c r="O66" s="6" t="n">
        <v>5947.5</v>
      </c>
      <c r="P66" s="6" t="n">
        <v>5831.44</v>
      </c>
      <c r="Q66" s="6" t="n">
        <v>4974.76</v>
      </c>
      <c r="R66" s="6" t="n">
        <v>4601.3</v>
      </c>
      <c r="S66" s="6" t="n">
        <v>4879.49</v>
      </c>
      <c r="T66" s="6" t="n">
        <v>4423.42</v>
      </c>
      <c r="U66" s="6" t="n">
        <v>5476.54</v>
      </c>
      <c r="V66" s="6" t="n">
        <v>5240.53</v>
      </c>
      <c r="W66" s="6" t="n">
        <v>5962</v>
      </c>
      <c r="X66" s="6" t="n">
        <v>5685.56</v>
      </c>
      <c r="Y66" s="6" t="n">
        <v>5351.53</v>
      </c>
      <c r="Z66" s="6" t="n">
        <v>5482.94</v>
      </c>
      <c r="AA66" s="6" t="n">
        <v>5267.63</v>
      </c>
      <c r="AB66" s="6" t="n">
        <v>5825.86</v>
      </c>
      <c r="AC66" s="6" t="n">
        <v>4455.98</v>
      </c>
      <c r="AD66" s="6" t="n">
        <v>4487.93</v>
      </c>
      <c r="AE66" s="6" t="n">
        <v>4442.79</v>
      </c>
      <c r="AF66" s="6" t="n">
        <v>4087.14</v>
      </c>
      <c r="AG66" s="6" t="n">
        <v>4748.58</v>
      </c>
      <c r="AH66" s="6" t="n">
        <v>4720.73</v>
      </c>
      <c r="AI66" s="6" t="n">
        <v>5513.15</v>
      </c>
      <c r="AJ66" s="6" t="n">
        <v>5158.47</v>
      </c>
      <c r="AK66" s="6" t="n">
        <v>4910.65</v>
      </c>
      <c r="AL66" s="6" t="n">
        <v>5036.76</v>
      </c>
    </row>
    <row r="67">
      <c r="A67" s="3" t="inlineStr">
        <is>
          <t>안과</t>
        </is>
      </c>
      <c r="B67" s="3" t="inlineStr">
        <is>
          <t>진료과단독</t>
        </is>
      </c>
      <c r="C67" s="6" t="n">
        <v>3949.84</v>
      </c>
      <c r="D67" s="6" t="n">
        <v>3956.32</v>
      </c>
      <c r="E67" s="6" t="n">
        <v>3171.45</v>
      </c>
      <c r="F67" s="6" t="n">
        <v>3083.64</v>
      </c>
      <c r="G67" s="6" t="n">
        <v>3102.09</v>
      </c>
      <c r="H67" s="6" t="n">
        <v>3187.18</v>
      </c>
      <c r="I67" s="6" t="n">
        <v>3455.17</v>
      </c>
      <c r="J67" s="6" t="n">
        <v>4385.01</v>
      </c>
      <c r="K67" s="6" t="n">
        <v>4338.4</v>
      </c>
      <c r="L67" s="6" t="n">
        <v>3873.74</v>
      </c>
      <c r="M67" s="6" t="n">
        <v>3813.19</v>
      </c>
      <c r="N67" s="6" t="n">
        <v>4174.67</v>
      </c>
      <c r="O67" s="6" t="n">
        <v>3796.71</v>
      </c>
      <c r="P67" s="6" t="n">
        <v>3401.13</v>
      </c>
      <c r="Q67" s="6" t="n">
        <v>2959.2</v>
      </c>
      <c r="R67" s="6" t="n">
        <v>2873.96</v>
      </c>
      <c r="S67" s="6" t="n">
        <v>2995.43</v>
      </c>
      <c r="T67" s="6" t="n">
        <v>2942.75</v>
      </c>
      <c r="U67" s="6" t="n">
        <v>3501.35</v>
      </c>
      <c r="V67" s="6" t="n">
        <v>4095.7</v>
      </c>
      <c r="W67" s="6" t="n">
        <v>4205.12</v>
      </c>
      <c r="X67" s="6" t="n">
        <v>3731.38</v>
      </c>
      <c r="Y67" s="6" t="n">
        <v>3683.02</v>
      </c>
      <c r="Z67" s="6" t="n">
        <v>3845.05</v>
      </c>
      <c r="AA67" s="6" t="n">
        <v>3542.16</v>
      </c>
      <c r="AB67" s="6" t="n">
        <v>3825.94</v>
      </c>
      <c r="AC67" s="6" t="n">
        <v>2798.34</v>
      </c>
      <c r="AD67" s="6" t="n">
        <v>2853.42</v>
      </c>
      <c r="AE67" s="6" t="n">
        <v>2834.81</v>
      </c>
      <c r="AF67" s="6" t="n">
        <v>2752.83</v>
      </c>
      <c r="AG67" s="6" t="n">
        <v>3092.08</v>
      </c>
      <c r="AH67" s="6" t="n">
        <v>3827.18</v>
      </c>
      <c r="AI67" s="6" t="n">
        <v>3581.68</v>
      </c>
      <c r="AJ67" s="6" t="n">
        <v>3448.07</v>
      </c>
      <c r="AK67" s="6" t="n">
        <v>3485.08</v>
      </c>
      <c r="AL67" s="6" t="n">
        <v>3709.51</v>
      </c>
    </row>
    <row r="68">
      <c r="A68" s="3" t="inlineStr">
        <is>
          <t>성형외과</t>
        </is>
      </c>
      <c r="B68" s="3" t="inlineStr">
        <is>
          <t>진료과단독</t>
        </is>
      </c>
      <c r="C68" s="6" t="n">
        <v>413.74</v>
      </c>
      <c r="D68" s="6" t="n">
        <v>434.13</v>
      </c>
      <c r="E68" s="6" t="n">
        <v>434.06</v>
      </c>
      <c r="F68" s="6" t="n">
        <v>456.98</v>
      </c>
      <c r="G68" s="6" t="n">
        <v>524.75</v>
      </c>
      <c r="H68" s="6" t="n">
        <v>428.07</v>
      </c>
      <c r="I68" s="6" t="n">
        <v>445.21</v>
      </c>
      <c r="J68" s="6" t="n">
        <v>432.04</v>
      </c>
      <c r="K68" s="6" t="n">
        <v>439.61</v>
      </c>
      <c r="L68" s="6" t="n">
        <v>417.07</v>
      </c>
      <c r="M68" s="6" t="n">
        <v>425.43</v>
      </c>
      <c r="N68" s="6" t="n">
        <v>405.45</v>
      </c>
      <c r="O68" s="6" t="n">
        <v>398.43</v>
      </c>
      <c r="P68" s="6" t="n">
        <v>403.69</v>
      </c>
      <c r="Q68" s="6" t="n">
        <v>403.47</v>
      </c>
      <c r="R68" s="6" t="n">
        <v>439.22</v>
      </c>
      <c r="S68" s="6" t="n">
        <v>458.22</v>
      </c>
      <c r="T68" s="6" t="n">
        <v>388.08</v>
      </c>
      <c r="U68" s="6" t="n">
        <v>378.56</v>
      </c>
      <c r="V68" s="6" t="n">
        <v>356.29</v>
      </c>
      <c r="W68" s="6" t="n">
        <v>369.67</v>
      </c>
      <c r="X68" s="6" t="n">
        <v>356.98</v>
      </c>
      <c r="Y68" s="6" t="n">
        <v>368.07</v>
      </c>
      <c r="Z68" s="6" t="n">
        <v>384.04</v>
      </c>
      <c r="AA68" s="6" t="n">
        <v>355.21</v>
      </c>
      <c r="AB68" s="6" t="n">
        <v>354</v>
      </c>
      <c r="AC68" s="6" t="n">
        <v>341.44</v>
      </c>
      <c r="AD68" s="6" t="n">
        <v>443.38</v>
      </c>
      <c r="AE68" s="6" t="n">
        <v>441.53</v>
      </c>
      <c r="AF68" s="6" t="n">
        <v>387.46</v>
      </c>
      <c r="AG68" s="6" t="n">
        <v>323.03</v>
      </c>
      <c r="AH68" s="6" t="n">
        <v>330.88</v>
      </c>
      <c r="AI68" s="6" t="n">
        <v>324.63</v>
      </c>
      <c r="AJ68" s="6" t="n">
        <v>297.87</v>
      </c>
      <c r="AK68" s="6" t="n">
        <v>282.55</v>
      </c>
      <c r="AL68" s="6" t="n">
        <v>288.02</v>
      </c>
    </row>
    <row r="69">
      <c r="A69" s="3" t="inlineStr">
        <is>
          <t>병원</t>
        </is>
      </c>
      <c r="B69" s="3" t="inlineStr">
        <is>
          <t>진료과단독</t>
        </is>
      </c>
      <c r="C69" s="6" t="n">
        <v>2613.34</v>
      </c>
      <c r="D69" s="6" t="n">
        <v>3182.27</v>
      </c>
      <c r="E69" s="6" t="n">
        <v>2720.46</v>
      </c>
      <c r="F69" s="6" t="n">
        <v>3214.52</v>
      </c>
      <c r="G69" s="6" t="n">
        <v>2390.66</v>
      </c>
      <c r="H69" s="6" t="n">
        <v>2350.89</v>
      </c>
      <c r="I69" s="6" t="n">
        <v>2358.91</v>
      </c>
      <c r="J69" s="6" t="n">
        <v>2302.94</v>
      </c>
      <c r="K69" s="6" t="n">
        <v>2452.06</v>
      </c>
      <c r="L69" s="6" t="n">
        <v>2143.79</v>
      </c>
      <c r="M69" s="6" t="n">
        <v>1939.94</v>
      </c>
      <c r="N69" s="6" t="n">
        <v>2494.27</v>
      </c>
      <c r="O69" s="6" t="n">
        <v>2380.88</v>
      </c>
      <c r="P69" s="6" t="n">
        <v>2287.14</v>
      </c>
      <c r="Q69" s="6" t="n">
        <v>2002.52</v>
      </c>
      <c r="R69" s="6" t="n">
        <v>2628.39</v>
      </c>
      <c r="S69" s="6" t="n">
        <v>3116.48</v>
      </c>
      <c r="T69" s="6" t="n">
        <v>1443.96</v>
      </c>
      <c r="U69" s="6" t="n">
        <v>2192.35</v>
      </c>
      <c r="V69" s="6" t="n">
        <v>2206.25</v>
      </c>
      <c r="W69" s="6" t="n">
        <v>2113.45</v>
      </c>
      <c r="X69" s="6" t="n">
        <v>1753.4</v>
      </c>
      <c r="Y69" s="6" t="n">
        <v>1480.28</v>
      </c>
      <c r="Z69" s="6" t="n">
        <v>1700.5</v>
      </c>
      <c r="AA69" s="6" t="n">
        <v>1810.18</v>
      </c>
      <c r="AB69" s="6" t="n">
        <v>2633.72</v>
      </c>
      <c r="AC69" s="6" t="n">
        <v>2403.2</v>
      </c>
      <c r="AD69" s="6" t="n">
        <v>1923.51</v>
      </c>
      <c r="AE69" s="6" t="n">
        <v>1759.11</v>
      </c>
      <c r="AF69" s="6" t="n">
        <v>1947.34</v>
      </c>
      <c r="AG69" s="6" t="n">
        <v>1793.59</v>
      </c>
      <c r="AH69" s="6" t="n">
        <v>1671.62</v>
      </c>
      <c r="AI69" s="6" t="n">
        <v>1810.7</v>
      </c>
      <c r="AJ69" s="6" t="n">
        <v>1435.59</v>
      </c>
      <c r="AK69" s="6" t="n">
        <v>1314.89</v>
      </c>
      <c r="AL69" s="6" t="n">
        <v>1473.09</v>
      </c>
    </row>
    <row r="70">
      <c r="A70" s="3" t="inlineStr">
        <is>
          <t>임플란트</t>
        </is>
      </c>
      <c r="B70" s="3" t="inlineStr">
        <is>
          <t>시술질환</t>
        </is>
      </c>
      <c r="C70" s="6" t="n">
        <v>426.98</v>
      </c>
      <c r="D70" s="6" t="n">
        <v>437.76</v>
      </c>
      <c r="E70" s="6" t="n">
        <v>424.9</v>
      </c>
      <c r="F70" s="6" t="n">
        <v>461.33</v>
      </c>
      <c r="G70" s="6" t="n">
        <v>526.8</v>
      </c>
      <c r="H70" s="6" t="n">
        <v>448.2</v>
      </c>
      <c r="I70" s="6" t="n">
        <v>488.4</v>
      </c>
      <c r="J70" s="6" t="n">
        <v>428.24</v>
      </c>
      <c r="K70" s="6" t="n">
        <v>433.72</v>
      </c>
      <c r="L70" s="6" t="n">
        <v>410.47</v>
      </c>
      <c r="M70" s="6" t="n">
        <v>433.9</v>
      </c>
      <c r="N70" s="6" t="n">
        <v>396.04</v>
      </c>
      <c r="O70" s="6" t="n">
        <v>365.08</v>
      </c>
      <c r="P70" s="6" t="n">
        <v>402.93</v>
      </c>
      <c r="Q70" s="6" t="n">
        <v>435.53</v>
      </c>
      <c r="R70" s="6" t="n">
        <v>429.54</v>
      </c>
      <c r="S70" s="6" t="n">
        <v>420.57</v>
      </c>
      <c r="T70" s="6" t="n">
        <v>451.87</v>
      </c>
      <c r="U70" s="6" t="n">
        <v>443.82</v>
      </c>
      <c r="V70" s="6" t="n">
        <v>384.87</v>
      </c>
      <c r="W70" s="6" t="n">
        <v>373.64</v>
      </c>
      <c r="X70" s="6" t="n">
        <v>364.83</v>
      </c>
      <c r="Y70" s="6" t="n">
        <v>354.74</v>
      </c>
      <c r="Z70" s="6" t="n">
        <v>342.48</v>
      </c>
      <c r="AA70" s="6" t="n">
        <v>320.43</v>
      </c>
      <c r="AB70" s="6" t="n">
        <v>286.82</v>
      </c>
      <c r="AC70" s="6" t="n">
        <v>296.69</v>
      </c>
      <c r="AD70" s="6" t="n">
        <v>350.7</v>
      </c>
      <c r="AE70" s="6" t="n">
        <v>485.75</v>
      </c>
      <c r="AF70" s="6" t="n">
        <v>252.94</v>
      </c>
      <c r="AG70" s="6" t="n">
        <v>272.66</v>
      </c>
      <c r="AH70" s="6" t="n">
        <v>250.21</v>
      </c>
      <c r="AI70" s="6" t="n">
        <v>230.21</v>
      </c>
      <c r="AJ70" s="6" t="n">
        <v>225.39</v>
      </c>
      <c r="AK70" s="6" t="n">
        <v>230.1</v>
      </c>
      <c r="AL70" s="6" t="n">
        <v>257.78</v>
      </c>
    </row>
    <row r="71">
      <c r="A71" s="3" t="inlineStr">
        <is>
          <t>라식</t>
        </is>
      </c>
      <c r="B71" s="3" t="inlineStr">
        <is>
          <t>시술질환</t>
        </is>
      </c>
      <c r="C71" s="6" t="n">
        <v>172.33</v>
      </c>
      <c r="D71" s="6" t="n">
        <v>168.27</v>
      </c>
      <c r="E71" s="6" t="n">
        <v>194.62</v>
      </c>
      <c r="F71" s="6" t="n">
        <v>236.71</v>
      </c>
      <c r="G71" s="6" t="n">
        <v>274.93</v>
      </c>
      <c r="H71" s="6" t="n">
        <v>244.93</v>
      </c>
      <c r="I71" s="6" t="n">
        <v>226.47</v>
      </c>
      <c r="J71" s="6" t="n">
        <v>170.18</v>
      </c>
      <c r="K71" s="6" t="n">
        <v>165.45</v>
      </c>
      <c r="L71" s="6" t="n">
        <v>174.44</v>
      </c>
      <c r="M71" s="6" t="n">
        <v>185.55</v>
      </c>
      <c r="N71" s="6" t="n">
        <v>183.44</v>
      </c>
      <c r="O71" s="6" t="n">
        <v>160.95</v>
      </c>
      <c r="P71" s="6" t="n">
        <v>160.39</v>
      </c>
      <c r="Q71" s="6" t="n">
        <v>204.87</v>
      </c>
      <c r="R71" s="6" t="n">
        <v>207.11</v>
      </c>
      <c r="S71" s="6" t="n">
        <v>227.18</v>
      </c>
      <c r="T71" s="6" t="n">
        <v>185.35</v>
      </c>
      <c r="U71" s="6" t="n">
        <v>151.25</v>
      </c>
      <c r="V71" s="6" t="n">
        <v>136.45</v>
      </c>
      <c r="W71" s="6" t="n">
        <v>135.7</v>
      </c>
      <c r="X71" s="6" t="n">
        <v>136.02</v>
      </c>
      <c r="Y71" s="6" t="n">
        <v>145.19</v>
      </c>
      <c r="Z71" s="6" t="n">
        <v>149.07</v>
      </c>
      <c r="AA71" s="6" t="n">
        <v>141.8</v>
      </c>
      <c r="AB71" s="6" t="n">
        <v>124.77</v>
      </c>
      <c r="AC71" s="6" t="n">
        <v>141.84</v>
      </c>
      <c r="AD71" s="6" t="n">
        <v>160.41</v>
      </c>
      <c r="AE71" s="6" t="n">
        <v>161.16</v>
      </c>
      <c r="AF71" s="6" t="n">
        <v>116.56</v>
      </c>
      <c r="AG71" s="6" t="n">
        <v>96.59999999999999</v>
      </c>
      <c r="AH71" s="6" t="n">
        <v>88.06</v>
      </c>
      <c r="AI71" s="6" t="n">
        <v>82.52</v>
      </c>
      <c r="AJ71" s="6" t="n">
        <v>80.69</v>
      </c>
      <c r="AK71" s="6" t="n">
        <v>92.12</v>
      </c>
      <c r="AL71" s="6" t="n">
        <v>88.59</v>
      </c>
    </row>
    <row r="72">
      <c r="A72" s="3" t="inlineStr">
        <is>
          <t>도수치료</t>
        </is>
      </c>
      <c r="B72" s="3" t="inlineStr">
        <is>
          <t>시술질환</t>
        </is>
      </c>
      <c r="C72" s="6" t="n">
        <v>617.4400000000001</v>
      </c>
      <c r="D72" s="6" t="n">
        <v>600.86</v>
      </c>
      <c r="E72" s="6" t="n">
        <v>575.1</v>
      </c>
      <c r="F72" s="6" t="n">
        <v>527.66</v>
      </c>
      <c r="G72" s="6" t="n">
        <v>612.99</v>
      </c>
      <c r="H72" s="6" t="n">
        <v>666.6</v>
      </c>
      <c r="I72" s="6" t="n">
        <v>592.3099999999999</v>
      </c>
      <c r="J72" s="6" t="n">
        <v>575.17</v>
      </c>
      <c r="K72" s="6" t="n">
        <v>598.87</v>
      </c>
      <c r="L72" s="6" t="n">
        <v>580.73</v>
      </c>
      <c r="M72" s="6" t="n">
        <v>617.92</v>
      </c>
      <c r="N72" s="6" t="n">
        <v>619.1900000000001</v>
      </c>
      <c r="O72" s="6" t="n">
        <v>581.98</v>
      </c>
      <c r="P72" s="6" t="n">
        <v>512.6</v>
      </c>
      <c r="Q72" s="6" t="n">
        <v>578.4</v>
      </c>
      <c r="R72" s="6" t="n">
        <v>495.51</v>
      </c>
      <c r="S72" s="6" t="n">
        <v>967.5700000000001</v>
      </c>
      <c r="T72" s="6" t="n">
        <v>492.73</v>
      </c>
      <c r="U72" s="6" t="n">
        <v>588.5</v>
      </c>
      <c r="V72" s="6" t="n">
        <v>518.8099999999999</v>
      </c>
      <c r="W72" s="6" t="n">
        <v>459.8</v>
      </c>
      <c r="X72" s="6" t="n">
        <v>434.41</v>
      </c>
      <c r="Y72" s="6" t="n">
        <v>457.3</v>
      </c>
      <c r="Z72" s="6" t="n">
        <v>441.15</v>
      </c>
      <c r="AA72" s="6" t="n">
        <v>428.94</v>
      </c>
      <c r="AB72" s="6" t="n">
        <v>361.18</v>
      </c>
      <c r="AC72" s="6" t="n">
        <v>384.88</v>
      </c>
      <c r="AD72" s="6" t="n">
        <v>871.75</v>
      </c>
      <c r="AE72" s="6" t="n">
        <v>610.4</v>
      </c>
      <c r="AF72" s="6" t="n">
        <v>408.61</v>
      </c>
      <c r="AG72" s="6" t="n">
        <v>374.95</v>
      </c>
      <c r="AH72" s="6" t="n">
        <v>552.62</v>
      </c>
      <c r="AI72" s="6" t="n">
        <v>544.29</v>
      </c>
      <c r="AJ72" s="6" t="n">
        <v>1274.07</v>
      </c>
      <c r="AK72" s="6" t="n">
        <v>926.66</v>
      </c>
      <c r="AL72" s="6" t="n">
        <v>382.73</v>
      </c>
    </row>
    <row r="73">
      <c r="A73" s="3" t="inlineStr">
        <is>
          <t>여드름치료</t>
        </is>
      </c>
      <c r="B73" s="3" t="inlineStr">
        <is>
          <t>시술질환</t>
        </is>
      </c>
      <c r="C73" s="6" t="n">
        <v>36.61</v>
      </c>
      <c r="D73" s="6" t="n">
        <v>39.26</v>
      </c>
      <c r="E73" s="6" t="n">
        <v>34.44</v>
      </c>
      <c r="F73" s="6" t="n">
        <v>34.92</v>
      </c>
      <c r="G73" s="6" t="n">
        <v>42.23</v>
      </c>
      <c r="H73" s="6" t="n">
        <v>37.64</v>
      </c>
      <c r="I73" s="6" t="n">
        <v>32.49</v>
      </c>
      <c r="J73" s="6" t="n">
        <v>40.82</v>
      </c>
      <c r="K73" s="6" t="n">
        <v>29.56</v>
      </c>
      <c r="L73" s="6" t="n">
        <v>28.51</v>
      </c>
      <c r="M73" s="6" t="n">
        <v>36.07</v>
      </c>
      <c r="N73" s="6" t="n">
        <v>36.91</v>
      </c>
      <c r="O73" s="6" t="n">
        <v>34.47</v>
      </c>
      <c r="P73" s="6" t="n">
        <v>35.2</v>
      </c>
      <c r="Q73" s="6" t="n">
        <v>33.62</v>
      </c>
      <c r="R73" s="6" t="n">
        <v>32.56</v>
      </c>
      <c r="S73" s="6" t="n">
        <v>47.53</v>
      </c>
      <c r="T73" s="6" t="n">
        <v>44.63</v>
      </c>
      <c r="U73" s="6" t="n">
        <v>33.46</v>
      </c>
      <c r="V73" s="6" t="n">
        <v>28.77</v>
      </c>
      <c r="W73" s="6" t="n">
        <v>28.58</v>
      </c>
      <c r="X73" s="6" t="n">
        <v>29.36</v>
      </c>
      <c r="Y73" s="6" t="n">
        <v>34.51</v>
      </c>
      <c r="Z73" s="6" t="n">
        <v>35.12</v>
      </c>
      <c r="AA73" s="6" t="n">
        <v>32</v>
      </c>
      <c r="AB73" s="6" t="n">
        <v>32.81</v>
      </c>
      <c r="AC73" s="6" t="n">
        <v>29.83</v>
      </c>
      <c r="AD73" s="6" t="n">
        <v>36.74</v>
      </c>
      <c r="AE73" s="6" t="n">
        <v>39.38</v>
      </c>
      <c r="AF73" s="6" t="n">
        <v>28.03</v>
      </c>
      <c r="AG73" s="6" t="n">
        <v>24.36</v>
      </c>
      <c r="AH73" s="6" t="n">
        <v>19.14</v>
      </c>
      <c r="AI73" s="6" t="n">
        <v>18.54</v>
      </c>
      <c r="AJ73" s="6" t="n">
        <v>18.29</v>
      </c>
      <c r="AK73" s="6" t="n">
        <v>21.58</v>
      </c>
      <c r="AL73" s="6" t="n">
        <v>19.23</v>
      </c>
    </row>
    <row r="74">
      <c r="A74" s="3" t="inlineStr">
        <is>
          <t>날씨</t>
        </is>
      </c>
      <c r="B74" s="3" t="inlineStr">
        <is>
          <t>대조군</t>
        </is>
      </c>
      <c r="C74" s="6" t="n">
        <v>397295.81</v>
      </c>
      <c r="D74" s="6" t="n">
        <v>285864.97</v>
      </c>
      <c r="E74" s="6" t="n">
        <v>444603.06</v>
      </c>
      <c r="F74" s="6" t="n">
        <v>450538.57</v>
      </c>
      <c r="G74" s="6" t="n">
        <v>392573.08</v>
      </c>
      <c r="H74" s="6" t="n">
        <v>407535.95</v>
      </c>
      <c r="I74" s="6" t="n">
        <v>492271.64</v>
      </c>
      <c r="J74" s="6" t="n">
        <v>433024.94</v>
      </c>
      <c r="K74" s="6" t="n">
        <v>414374.79</v>
      </c>
      <c r="L74" s="6" t="n">
        <v>418009.94</v>
      </c>
      <c r="M74" s="6" t="n">
        <v>815642.2</v>
      </c>
      <c r="N74" s="6" t="n">
        <v>429864.24</v>
      </c>
      <c r="O74" s="6" t="n">
        <v>443245.5</v>
      </c>
      <c r="P74" s="6" t="n">
        <v>404294.18</v>
      </c>
      <c r="Q74" s="6" t="n">
        <v>408704.61</v>
      </c>
      <c r="R74" s="6" t="n">
        <v>278868.07</v>
      </c>
      <c r="S74" s="6" t="n">
        <v>337343.74</v>
      </c>
      <c r="T74" s="6" t="n">
        <v>339787.16</v>
      </c>
      <c r="U74" s="6" t="n">
        <v>476979.32</v>
      </c>
      <c r="V74" s="6" t="n">
        <v>506977.01</v>
      </c>
      <c r="W74" s="6" t="n">
        <v>515514.58</v>
      </c>
      <c r="X74" s="6" t="n">
        <v>507758.07</v>
      </c>
      <c r="Y74" s="6" t="n">
        <v>491035.37</v>
      </c>
      <c r="Z74" s="6" t="n">
        <v>519762.45</v>
      </c>
      <c r="AA74" s="6" t="n">
        <v>537665.22</v>
      </c>
      <c r="AB74" s="6" t="n">
        <v>473593.84</v>
      </c>
      <c r="AC74" s="6" t="n">
        <v>309587.44</v>
      </c>
      <c r="AD74" s="6" t="n">
        <v>425036.86</v>
      </c>
      <c r="AE74" s="6" t="n">
        <v>370604.41</v>
      </c>
      <c r="AF74" s="6" t="n">
        <v>318984.53</v>
      </c>
      <c r="AG74" s="6" t="n">
        <v>360716.7</v>
      </c>
      <c r="AH74" s="6" t="n">
        <v>420614.7</v>
      </c>
      <c r="AI74" s="6" t="n">
        <v>417923.32</v>
      </c>
      <c r="AJ74" s="6" t="n">
        <v>360220.22</v>
      </c>
      <c r="AK74" s="6" t="n">
        <v>606834.05</v>
      </c>
      <c r="AL74" s="6" t="n">
        <v>473425</v>
      </c>
    </row>
    <row r="75">
      <c r="A75" s="3" t="inlineStr">
        <is>
          <t>지하철</t>
        </is>
      </c>
      <c r="B75" s="3" t="inlineStr">
        <is>
          <t>대조군</t>
        </is>
      </c>
      <c r="C75" s="6" t="n">
        <v>3942.16</v>
      </c>
      <c r="D75" s="6" t="n">
        <v>3827.89</v>
      </c>
      <c r="E75" s="6" t="n">
        <v>4761.56</v>
      </c>
      <c r="F75" s="6" t="n">
        <v>3674.79</v>
      </c>
      <c r="G75" s="6" t="n">
        <v>3319.75</v>
      </c>
      <c r="H75" s="6" t="n">
        <v>3347.8</v>
      </c>
      <c r="I75" s="6" t="n">
        <v>3631.08</v>
      </c>
      <c r="J75" s="6" t="n">
        <v>3378.06</v>
      </c>
      <c r="K75" s="6" t="n">
        <v>3357.59</v>
      </c>
      <c r="L75" s="6" t="n">
        <v>2968.53</v>
      </c>
      <c r="M75" s="6" t="n">
        <v>3441.11</v>
      </c>
      <c r="N75" s="6" t="n">
        <v>3073.1</v>
      </c>
      <c r="O75" s="6" t="n">
        <v>2893.49</v>
      </c>
      <c r="P75" s="6" t="n">
        <v>3295.19</v>
      </c>
      <c r="Q75" s="6" t="n">
        <v>4641.82</v>
      </c>
      <c r="R75" s="6" t="n">
        <v>3910.76</v>
      </c>
      <c r="S75" s="6" t="n">
        <v>2641.78</v>
      </c>
      <c r="T75" s="6" t="n">
        <v>2723.43</v>
      </c>
      <c r="U75" s="6" t="n">
        <v>3229.13</v>
      </c>
      <c r="V75" s="6" t="n">
        <v>2920.16</v>
      </c>
      <c r="W75" s="6" t="n">
        <v>3177.66</v>
      </c>
      <c r="X75" s="6" t="n">
        <v>2964.29</v>
      </c>
      <c r="Y75" s="6" t="n">
        <v>3162.82</v>
      </c>
      <c r="Z75" s="6" t="n">
        <v>2718.94</v>
      </c>
      <c r="AA75" s="6" t="n">
        <v>2739.74</v>
      </c>
      <c r="AB75" s="6" t="n">
        <v>2809.97</v>
      </c>
      <c r="AC75" s="6" t="n">
        <v>2760.7</v>
      </c>
      <c r="AD75" s="6" t="n">
        <v>3658.56</v>
      </c>
      <c r="AE75" s="6" t="n">
        <v>2575.15</v>
      </c>
      <c r="AF75" s="6" t="n">
        <v>2240.73</v>
      </c>
      <c r="AG75" s="6" t="n">
        <v>2612.75</v>
      </c>
      <c r="AH75" s="6" t="n">
        <v>2513.32</v>
      </c>
      <c r="AI75" s="6" t="n">
        <v>2745.53</v>
      </c>
      <c r="AJ75" s="6" t="n">
        <v>2282.33</v>
      </c>
      <c r="AK75" s="6" t="n">
        <v>2324.34</v>
      </c>
      <c r="AL75" s="6" t="n">
        <v>2173.36</v>
      </c>
    </row>
    <row r="76">
      <c r="A76" s="3" t="inlineStr">
        <is>
          <t>환율</t>
        </is>
      </c>
      <c r="B76" s="3" t="inlineStr">
        <is>
          <t>대조군</t>
        </is>
      </c>
      <c r="C76" s="6" t="n">
        <v>124679.15</v>
      </c>
      <c r="D76" s="6" t="n">
        <v>129824.71</v>
      </c>
      <c r="E76" s="6" t="n">
        <v>149084.31</v>
      </c>
      <c r="F76" s="6" t="n">
        <v>122964.1</v>
      </c>
      <c r="G76" s="6" t="n">
        <v>125227.99</v>
      </c>
      <c r="H76" s="6" t="n">
        <v>96242.92999999999</v>
      </c>
      <c r="I76" s="6" t="n">
        <v>108351.62</v>
      </c>
      <c r="J76" s="6" t="n">
        <v>147921.2</v>
      </c>
      <c r="K76" s="6" t="n">
        <v>119728.45</v>
      </c>
      <c r="L76" s="6" t="n">
        <v>108533.67</v>
      </c>
      <c r="M76" s="6" t="n">
        <v>119549.49</v>
      </c>
      <c r="N76" s="6" t="n">
        <v>137216.14</v>
      </c>
      <c r="O76" s="6" t="n">
        <v>102717.9</v>
      </c>
      <c r="P76" s="6" t="n">
        <v>119935.62</v>
      </c>
      <c r="Q76" s="6" t="n">
        <v>153604.59</v>
      </c>
      <c r="R76" s="6" t="n">
        <v>286269.86</v>
      </c>
      <c r="S76" s="6" t="n">
        <v>182465.69</v>
      </c>
      <c r="T76" s="6" t="n">
        <v>140817.04</v>
      </c>
      <c r="U76" s="6" t="n">
        <v>135235.11</v>
      </c>
      <c r="V76" s="6" t="n">
        <v>213565.8</v>
      </c>
      <c r="W76" s="6" t="n">
        <v>194598.45</v>
      </c>
      <c r="X76" s="6" t="n">
        <v>156009.92</v>
      </c>
      <c r="Y76" s="6" t="n">
        <v>141646.22</v>
      </c>
      <c r="Z76" s="6" t="n">
        <v>126459.78</v>
      </c>
      <c r="AA76" s="6" t="n">
        <v>134514.24</v>
      </c>
      <c r="AB76" s="6" t="n">
        <v>184710.33</v>
      </c>
      <c r="AC76" s="6" t="n">
        <v>219627.41</v>
      </c>
      <c r="AD76" s="6" t="n">
        <v>265326.61</v>
      </c>
      <c r="AE76" s="6" t="n">
        <v>273733.68</v>
      </c>
      <c r="AF76" s="6" t="n">
        <v>166534.16</v>
      </c>
      <c r="AG76" s="6" t="n">
        <v>338770.87</v>
      </c>
      <c r="AH76" s="6" t="n">
        <v>218065.7</v>
      </c>
      <c r="AI76" s="6" t="n">
        <v>177614.74</v>
      </c>
      <c r="AJ76" s="6" t="n">
        <v>244591.28</v>
      </c>
      <c r="AK76" s="6" t="n">
        <v>222057.29</v>
      </c>
      <c r="AL76" s="6" t="n">
        <v>198491.75</v>
      </c>
    </row>
    <row r="77">
      <c r="A77" s="3" t="inlineStr">
        <is>
          <t>로또</t>
        </is>
      </c>
      <c r="B77" s="3" t="inlineStr">
        <is>
          <t>대조군</t>
        </is>
      </c>
      <c r="C77" s="6" t="n">
        <v>72569.32000000001</v>
      </c>
      <c r="D77" s="6" t="n">
        <v>71366.16</v>
      </c>
      <c r="E77" s="6" t="n">
        <v>64613.46</v>
      </c>
      <c r="F77" s="6" t="n">
        <v>75542.91</v>
      </c>
      <c r="G77" s="6" t="n">
        <v>72448.52</v>
      </c>
      <c r="H77" s="6" t="n">
        <v>72027.24000000001</v>
      </c>
      <c r="I77" s="6" t="n">
        <v>83510.59</v>
      </c>
      <c r="J77" s="6" t="n">
        <v>70323.28</v>
      </c>
      <c r="K77" s="6" t="n">
        <v>69545.73</v>
      </c>
      <c r="L77" s="6" t="n">
        <v>75156.94</v>
      </c>
      <c r="M77" s="6" t="n">
        <v>79463.7</v>
      </c>
      <c r="N77" s="6" t="n">
        <v>85817.71000000001</v>
      </c>
      <c r="O77" s="6" t="n">
        <v>76805.36</v>
      </c>
      <c r="P77" s="6" t="n">
        <v>82118.37</v>
      </c>
      <c r="Q77" s="6" t="n">
        <v>153399.79</v>
      </c>
      <c r="R77" s="6" t="n">
        <v>184971.42</v>
      </c>
      <c r="S77" s="6" t="n">
        <v>168329.79</v>
      </c>
      <c r="T77" s="6" t="n">
        <v>159756.74</v>
      </c>
      <c r="U77" s="6" t="n">
        <v>187240.13</v>
      </c>
      <c r="V77" s="6" t="n">
        <v>147939.55</v>
      </c>
      <c r="W77" s="6" t="n">
        <v>157078.09</v>
      </c>
      <c r="X77" s="6" t="n">
        <v>163291.73</v>
      </c>
      <c r="Y77" s="6" t="n">
        <v>146418.22</v>
      </c>
      <c r="Z77" s="6" t="n">
        <v>166663.35</v>
      </c>
      <c r="AA77" s="6" t="n">
        <v>152655.19</v>
      </c>
      <c r="AB77" s="6" t="n">
        <v>153192.29</v>
      </c>
      <c r="AC77" s="6" t="n">
        <v>181717.74</v>
      </c>
      <c r="AD77" s="6" t="n">
        <v>149684.78</v>
      </c>
      <c r="AE77" s="6" t="n">
        <v>180516.55</v>
      </c>
      <c r="AF77" s="6" t="n">
        <v>172651.8</v>
      </c>
      <c r="AG77" s="6" t="n">
        <v>191719.8</v>
      </c>
      <c r="AH77" s="6" t="n">
        <v>155472.42</v>
      </c>
      <c r="AI77" s="6" t="n">
        <v>178291.72</v>
      </c>
      <c r="AJ77" s="6" t="n">
        <v>156369.13</v>
      </c>
      <c r="AK77" s="6" t="n">
        <v>149837.96</v>
      </c>
      <c r="AL77" s="6" t="n">
        <v>174654.53</v>
      </c>
    </row>
    <row r="78">
      <c r="A78" s="3" t="inlineStr">
        <is>
          <t>서울산부인과</t>
        </is>
      </c>
      <c r="B78" s="3" t="inlineStr">
        <is>
          <t>기타진료과(참고)</t>
        </is>
      </c>
      <c r="C78" s="6" t="n">
        <v>27.3</v>
      </c>
      <c r="D78" s="6" t="n">
        <v>25.57</v>
      </c>
      <c r="E78" s="6" t="n">
        <v>25.15</v>
      </c>
      <c r="F78" s="6" t="n">
        <v>24.8</v>
      </c>
      <c r="G78" s="6" t="n">
        <v>26.38</v>
      </c>
      <c r="H78" s="6" t="n">
        <v>26.44</v>
      </c>
      <c r="I78" s="6" t="n">
        <v>23.16</v>
      </c>
      <c r="J78" s="6" t="n">
        <v>26.2</v>
      </c>
      <c r="K78" s="6" t="n">
        <v>25.75</v>
      </c>
      <c r="L78" s="6" t="n">
        <v>25.39</v>
      </c>
      <c r="M78" s="6" t="n">
        <v>26.3</v>
      </c>
      <c r="N78" s="6" t="n">
        <v>29.66</v>
      </c>
      <c r="O78" s="6" t="n">
        <v>26.96</v>
      </c>
      <c r="P78" s="6" t="n">
        <v>24.96</v>
      </c>
      <c r="Q78" s="6" t="n">
        <v>25.42</v>
      </c>
      <c r="R78" s="6" t="n">
        <v>23.8</v>
      </c>
      <c r="S78" s="6" t="n">
        <v>25.36</v>
      </c>
      <c r="T78" s="6" t="n">
        <v>21.64</v>
      </c>
      <c r="U78" s="6" t="n">
        <v>32.42</v>
      </c>
      <c r="V78" s="6" t="n">
        <v>23.9</v>
      </c>
      <c r="W78" s="6" t="n">
        <v>22.55</v>
      </c>
      <c r="X78" s="6" t="n">
        <v>19.48</v>
      </c>
      <c r="Y78" s="6" t="n">
        <v>21.6</v>
      </c>
      <c r="Z78" s="6" t="n">
        <v>22.92</v>
      </c>
      <c r="AA78" s="6" t="n">
        <v>20.36</v>
      </c>
      <c r="AB78" s="6" t="n">
        <v>23.97</v>
      </c>
      <c r="AC78" s="6" t="n">
        <v>18.74</v>
      </c>
      <c r="AD78" s="6" t="n">
        <v>20.11</v>
      </c>
      <c r="AE78" s="6" t="n">
        <v>19.07</v>
      </c>
      <c r="AF78" s="6" t="n">
        <v>20.64</v>
      </c>
      <c r="AG78" s="6" t="n">
        <v>19.87</v>
      </c>
      <c r="AH78" s="6" t="n">
        <v>19.43</v>
      </c>
      <c r="AI78" s="6" t="n">
        <v>20.89</v>
      </c>
      <c r="AJ78" s="6" t="n">
        <v>21.29</v>
      </c>
      <c r="AK78" s="6" t="n">
        <v>21.76</v>
      </c>
      <c r="AL78" s="6" t="n">
        <v>23.59</v>
      </c>
    </row>
    <row r="79">
      <c r="A79" s="3" t="inlineStr">
        <is>
          <t>서울이비인후과</t>
        </is>
      </c>
      <c r="B79" s="3" t="inlineStr">
        <is>
          <t>기타진료과(참고)</t>
        </is>
      </c>
      <c r="C79" s="6" t="n">
        <v>240.19</v>
      </c>
      <c r="D79" s="6" t="n">
        <v>318.71</v>
      </c>
      <c r="E79" s="6" t="n">
        <v>297.33</v>
      </c>
      <c r="F79" s="6" t="n">
        <v>338.73</v>
      </c>
      <c r="G79" s="6" t="n">
        <v>279.94</v>
      </c>
      <c r="H79" s="6" t="n">
        <v>232.79</v>
      </c>
      <c r="I79" s="6" t="n">
        <v>248.1</v>
      </c>
      <c r="J79" s="6" t="n">
        <v>253.24</v>
      </c>
      <c r="K79" s="6" t="n">
        <v>249.76</v>
      </c>
      <c r="L79" s="6" t="n">
        <v>192.43</v>
      </c>
      <c r="M79" s="6" t="n">
        <v>219.87</v>
      </c>
      <c r="N79" s="6" t="n">
        <v>265.66</v>
      </c>
      <c r="O79" s="6" t="n">
        <v>211.67</v>
      </c>
      <c r="P79" s="6" t="n">
        <v>241.49</v>
      </c>
      <c r="Q79" s="6" t="n">
        <v>228.73</v>
      </c>
      <c r="R79" s="6" t="n">
        <v>279.89</v>
      </c>
      <c r="S79" s="6" t="n">
        <v>301.17</v>
      </c>
      <c r="T79" s="6" t="n">
        <v>168.33</v>
      </c>
      <c r="U79" s="6" t="n">
        <v>225.2</v>
      </c>
      <c r="V79" s="6" t="n">
        <v>223.35</v>
      </c>
      <c r="W79" s="6" t="n">
        <v>203.1</v>
      </c>
      <c r="X79" s="6" t="n">
        <v>151.02</v>
      </c>
      <c r="Y79" s="6" t="n">
        <v>147.81</v>
      </c>
      <c r="Z79" s="6" t="n">
        <v>160.57</v>
      </c>
      <c r="AA79" s="6" t="n">
        <v>176.37</v>
      </c>
      <c r="AB79" s="6" t="n">
        <v>221.36</v>
      </c>
      <c r="AC79" s="6" t="n">
        <v>225.47</v>
      </c>
      <c r="AD79" s="6" t="n">
        <v>190.63</v>
      </c>
      <c r="AE79" s="6" t="n">
        <v>193.81</v>
      </c>
      <c r="AF79" s="6" t="n">
        <v>182.95</v>
      </c>
      <c r="AG79" s="6" t="n">
        <v>201.5</v>
      </c>
      <c r="AH79" s="6" t="n">
        <v>216.11</v>
      </c>
      <c r="AI79" s="6" t="n">
        <v>183.13</v>
      </c>
      <c r="AJ79" s="6" t="n">
        <v>140.19</v>
      </c>
      <c r="AK79" s="6" t="n">
        <v>146.77</v>
      </c>
      <c r="AL79" s="6" t="n">
        <v>152.16</v>
      </c>
    </row>
    <row r="80">
      <c r="A80" s="3" t="inlineStr">
        <is>
          <t>서울비뇨기과</t>
        </is>
      </c>
      <c r="B80" s="3" t="inlineStr">
        <is>
          <t>기타진료과(참고)</t>
        </is>
      </c>
      <c r="C80" s="6" t="n">
        <v>38.61</v>
      </c>
      <c r="D80" s="6" t="n">
        <v>41.69</v>
      </c>
      <c r="E80" s="6" t="n">
        <v>35.67</v>
      </c>
      <c r="F80" s="6" t="n">
        <v>37.32</v>
      </c>
      <c r="G80" s="6" t="n">
        <v>42.96</v>
      </c>
      <c r="H80" s="6" t="n">
        <v>40.16</v>
      </c>
      <c r="I80" s="6" t="n">
        <v>35.57</v>
      </c>
      <c r="J80" s="6" t="n">
        <v>36.92</v>
      </c>
      <c r="K80" s="6" t="n">
        <v>37.49</v>
      </c>
      <c r="L80" s="6" t="n">
        <v>34.85</v>
      </c>
      <c r="M80" s="6" t="n">
        <v>39.13</v>
      </c>
      <c r="N80" s="6" t="n">
        <v>39.61</v>
      </c>
      <c r="O80" s="6" t="n">
        <v>39.7</v>
      </c>
      <c r="P80" s="6" t="n">
        <v>38.36</v>
      </c>
      <c r="Q80" s="6" t="n">
        <v>33.09</v>
      </c>
      <c r="R80" s="6" t="n">
        <v>34.92</v>
      </c>
      <c r="S80" s="6" t="n">
        <v>39.46</v>
      </c>
      <c r="T80" s="6" t="n">
        <v>36.71</v>
      </c>
      <c r="U80" s="6" t="n">
        <v>32.88</v>
      </c>
      <c r="V80" s="6" t="n">
        <v>32.33</v>
      </c>
      <c r="W80" s="6" t="n">
        <v>33.05</v>
      </c>
      <c r="X80" s="6" t="n">
        <v>28.35</v>
      </c>
      <c r="Y80" s="6" t="n">
        <v>27.28</v>
      </c>
      <c r="Z80" s="6" t="n">
        <v>26.21</v>
      </c>
      <c r="AA80" s="6" t="n">
        <v>23.64</v>
      </c>
      <c r="AB80" s="6" t="n">
        <v>25.28</v>
      </c>
      <c r="AC80" s="6" t="n">
        <v>20.85</v>
      </c>
      <c r="AD80" s="6" t="n">
        <v>23.69</v>
      </c>
      <c r="AE80" s="6" t="n">
        <v>27.26</v>
      </c>
      <c r="AF80" s="6" t="n">
        <v>22.53</v>
      </c>
      <c r="AG80" s="6" t="n">
        <v>20.48</v>
      </c>
      <c r="AH80" s="6" t="n">
        <v>21.02</v>
      </c>
      <c r="AI80" s="6" t="n">
        <v>20.59</v>
      </c>
      <c r="AJ80" s="6" t="n">
        <v>19.57</v>
      </c>
      <c r="AK80" s="6" t="n">
        <v>22.21</v>
      </c>
      <c r="AL80" s="6" t="n">
        <v>23.3</v>
      </c>
    </row>
    <row r="81">
      <c r="A81" s="3" t="inlineStr">
        <is>
          <t>부산이비인후과</t>
        </is>
      </c>
      <c r="B81" s="3" t="inlineStr">
        <is>
          <t>기타진료과(참고)</t>
        </is>
      </c>
      <c r="C81" s="6" t="n">
        <v>43.14</v>
      </c>
      <c r="D81" s="6" t="n">
        <v>50.37</v>
      </c>
      <c r="E81" s="6" t="n">
        <v>43.2</v>
      </c>
      <c r="F81" s="6" t="n">
        <v>49.67</v>
      </c>
      <c r="G81" s="6" t="n">
        <v>48.69</v>
      </c>
      <c r="H81" s="6" t="n">
        <v>47.75</v>
      </c>
      <c r="I81" s="6" t="n">
        <v>46.92</v>
      </c>
      <c r="J81" s="6" t="n">
        <v>47.69</v>
      </c>
      <c r="K81" s="6" t="n">
        <v>50.7</v>
      </c>
      <c r="L81" s="6" t="n">
        <v>45.38</v>
      </c>
      <c r="M81" s="6" t="n">
        <v>65.68000000000001</v>
      </c>
      <c r="N81" s="6" t="n">
        <v>71.37</v>
      </c>
      <c r="O81" s="6" t="n">
        <v>71.73999999999999</v>
      </c>
      <c r="P81" s="6" t="n">
        <v>54.04</v>
      </c>
      <c r="Q81" s="6" t="n">
        <v>46.7</v>
      </c>
      <c r="R81" s="6" t="n">
        <v>53.12</v>
      </c>
      <c r="S81" s="6" t="n">
        <v>53.64</v>
      </c>
      <c r="T81" s="6" t="n">
        <v>40.19</v>
      </c>
      <c r="U81" s="6" t="n">
        <v>43.6</v>
      </c>
      <c r="V81" s="6" t="n">
        <v>42.52</v>
      </c>
      <c r="W81" s="6" t="n">
        <v>41.94</v>
      </c>
      <c r="X81" s="6" t="n">
        <v>36.85</v>
      </c>
      <c r="Y81" s="6" t="n">
        <v>49.24</v>
      </c>
      <c r="Z81" s="6" t="n">
        <v>58.4</v>
      </c>
      <c r="AA81" s="6" t="n">
        <v>61.62</v>
      </c>
      <c r="AB81" s="6" t="n">
        <v>46.7</v>
      </c>
      <c r="AC81" s="6" t="n">
        <v>61.53</v>
      </c>
      <c r="AD81" s="6" t="n">
        <v>49.26</v>
      </c>
      <c r="AE81" s="6" t="n">
        <v>44.39</v>
      </c>
      <c r="AF81" s="6" t="n">
        <v>47.93</v>
      </c>
      <c r="AG81" s="6" t="n">
        <v>43.71</v>
      </c>
      <c r="AH81" s="6" t="n">
        <v>40.21</v>
      </c>
      <c r="AI81" s="6" t="n">
        <v>38.75</v>
      </c>
      <c r="AJ81" s="6" t="n">
        <v>30.31</v>
      </c>
      <c r="AK81" s="6" t="n">
        <v>32.48</v>
      </c>
      <c r="AL81" s="6" t="n">
        <v>34.97</v>
      </c>
    </row>
    <row r="82">
      <c r="A82" s="3" t="inlineStr">
        <is>
          <t>대구이비인후과</t>
        </is>
      </c>
      <c r="B82" s="3" t="inlineStr">
        <is>
          <t>기타진료과(참고)</t>
        </is>
      </c>
      <c r="C82" s="6" t="n">
        <v>43.47</v>
      </c>
      <c r="D82" s="6" t="n">
        <v>50.88</v>
      </c>
      <c r="E82" s="6" t="n">
        <v>40.02</v>
      </c>
      <c r="F82" s="6" t="n">
        <v>46.06</v>
      </c>
      <c r="G82" s="6" t="n">
        <v>53.3</v>
      </c>
      <c r="H82" s="6" t="n">
        <v>71.04000000000001</v>
      </c>
      <c r="I82" s="6" t="n">
        <v>51.39</v>
      </c>
      <c r="J82" s="6" t="n">
        <v>51.43</v>
      </c>
      <c r="K82" s="6" t="n">
        <v>50.37</v>
      </c>
      <c r="L82" s="6" t="n">
        <v>40.52</v>
      </c>
      <c r="M82" s="6" t="n">
        <v>42.7</v>
      </c>
      <c r="N82" s="6" t="n">
        <v>50.81</v>
      </c>
      <c r="O82" s="6" t="n">
        <v>48.53</v>
      </c>
      <c r="P82" s="6" t="n">
        <v>40.19</v>
      </c>
      <c r="Q82" s="6" t="n">
        <v>35.92</v>
      </c>
      <c r="R82" s="6" t="n">
        <v>41.09</v>
      </c>
      <c r="S82" s="6" t="n">
        <v>54.3</v>
      </c>
      <c r="T82" s="6" t="n">
        <v>34.99</v>
      </c>
      <c r="U82" s="6" t="n">
        <v>69.34999999999999</v>
      </c>
      <c r="V82" s="6" t="n">
        <v>38.05</v>
      </c>
      <c r="W82" s="6" t="n">
        <v>45.6</v>
      </c>
      <c r="X82" s="6" t="n">
        <v>67.95999999999999</v>
      </c>
      <c r="Y82" s="6" t="n">
        <v>65.95999999999999</v>
      </c>
      <c r="Z82" s="6" t="n">
        <v>48.41</v>
      </c>
      <c r="AA82" s="6" t="n">
        <v>59.56</v>
      </c>
      <c r="AB82" s="6" t="n">
        <v>53.12</v>
      </c>
      <c r="AC82" s="6" t="n">
        <v>94.11</v>
      </c>
      <c r="AD82" s="6" t="n">
        <v>128.51</v>
      </c>
      <c r="AE82" s="6" t="n">
        <v>36.99</v>
      </c>
      <c r="AF82" s="6" t="n">
        <v>42.95</v>
      </c>
      <c r="AG82" s="6" t="n">
        <v>37.76</v>
      </c>
      <c r="AH82" s="6" t="n">
        <v>39.85</v>
      </c>
      <c r="AI82" s="6" t="n">
        <v>42.65</v>
      </c>
      <c r="AJ82" s="6" t="n">
        <v>39.05</v>
      </c>
      <c r="AK82" s="6" t="n">
        <v>42.07</v>
      </c>
      <c r="AL82" s="6" t="n">
        <v>43.18</v>
      </c>
    </row>
    <row r="83">
      <c r="A83" s="3" t="inlineStr">
        <is>
          <t>부산산부인과</t>
        </is>
      </c>
      <c r="B83" s="3" t="inlineStr">
        <is>
          <t>기타진료과(참고)</t>
        </is>
      </c>
      <c r="C83" s="6" t="n">
        <v>43.33</v>
      </c>
      <c r="D83" s="6" t="n">
        <v>41.58</v>
      </c>
      <c r="E83" s="6" t="n">
        <v>35.68</v>
      </c>
      <c r="F83" s="6" t="n">
        <v>39.3</v>
      </c>
      <c r="G83" s="6" t="n">
        <v>48.65</v>
      </c>
      <c r="H83" s="6" t="n">
        <v>79.84999999999999</v>
      </c>
      <c r="I83" s="6" t="n">
        <v>43.02</v>
      </c>
      <c r="J83" s="6" t="n">
        <v>47.31</v>
      </c>
      <c r="K83" s="6" t="n">
        <v>44.66</v>
      </c>
      <c r="L83" s="6" t="n">
        <v>39.72</v>
      </c>
      <c r="M83" s="6" t="n">
        <v>41.6</v>
      </c>
      <c r="N83" s="6" t="n">
        <v>44.23</v>
      </c>
      <c r="O83" s="6" t="n">
        <v>47.21</v>
      </c>
      <c r="P83" s="6" t="n">
        <v>38.99</v>
      </c>
      <c r="Q83" s="6" t="n">
        <v>33.2</v>
      </c>
      <c r="R83" s="6" t="n">
        <v>34.64</v>
      </c>
      <c r="S83" s="6" t="n">
        <v>42.22</v>
      </c>
      <c r="T83" s="6" t="n">
        <v>34.13</v>
      </c>
      <c r="U83" s="6" t="n">
        <v>38.74</v>
      </c>
      <c r="V83" s="6" t="n">
        <v>32.5</v>
      </c>
      <c r="W83" s="6" t="n">
        <v>36.49</v>
      </c>
      <c r="X83" s="6" t="n">
        <v>36.78</v>
      </c>
      <c r="Y83" s="6" t="n">
        <v>34.36</v>
      </c>
      <c r="Z83" s="6" t="n">
        <v>46.56</v>
      </c>
      <c r="AA83" s="6" t="n">
        <v>33.19</v>
      </c>
      <c r="AB83" s="6" t="n">
        <v>41.09</v>
      </c>
      <c r="AC83" s="6" t="n">
        <v>30.4</v>
      </c>
      <c r="AD83" s="6" t="n">
        <v>33.07</v>
      </c>
      <c r="AE83" s="6" t="n">
        <v>33.32</v>
      </c>
      <c r="AF83" s="6" t="n">
        <v>35.95</v>
      </c>
      <c r="AG83" s="6" t="n">
        <v>31.11</v>
      </c>
      <c r="AH83" s="6" t="n">
        <v>37.62</v>
      </c>
      <c r="AI83" s="6" t="n">
        <v>42.88</v>
      </c>
      <c r="AJ83" s="6" t="n">
        <v>35.44</v>
      </c>
      <c r="AK83" s="6" t="n">
        <v>38.2</v>
      </c>
      <c r="AL83" s="6" t="n">
        <v>39.45</v>
      </c>
    </row>
    <row r="84">
      <c r="A84" s="3" t="inlineStr">
        <is>
          <t>대구산부인과</t>
        </is>
      </c>
      <c r="B84" s="3" t="inlineStr">
        <is>
          <t>기타진료과(참고)</t>
        </is>
      </c>
      <c r="C84" s="6" t="n">
        <v>54.74</v>
      </c>
      <c r="D84" s="6" t="n">
        <v>57.61</v>
      </c>
      <c r="E84" s="6" t="n">
        <v>48.66</v>
      </c>
      <c r="F84" s="6" t="n">
        <v>51.84</v>
      </c>
      <c r="G84" s="6" t="n">
        <v>55.23</v>
      </c>
      <c r="H84" s="6" t="n">
        <v>52.79</v>
      </c>
      <c r="I84" s="6" t="n">
        <v>54.85</v>
      </c>
      <c r="J84" s="6" t="n">
        <v>65.05</v>
      </c>
      <c r="K84" s="6" t="n">
        <v>57.81</v>
      </c>
      <c r="L84" s="6" t="n">
        <v>54.11</v>
      </c>
      <c r="M84" s="6" t="n">
        <v>57.96</v>
      </c>
      <c r="N84" s="6" t="n">
        <v>59.35</v>
      </c>
      <c r="O84" s="6" t="n">
        <v>60.84</v>
      </c>
      <c r="P84" s="6" t="n">
        <v>56.55</v>
      </c>
      <c r="Q84" s="6" t="n">
        <v>48.19</v>
      </c>
      <c r="R84" s="6" t="n">
        <v>50.91</v>
      </c>
      <c r="S84" s="6" t="n">
        <v>57.58</v>
      </c>
      <c r="T84" s="6" t="n">
        <v>50.81</v>
      </c>
      <c r="U84" s="6" t="n">
        <v>60.99</v>
      </c>
      <c r="V84" s="6" t="n">
        <v>67.90000000000001</v>
      </c>
      <c r="W84" s="6" t="n">
        <v>54.59</v>
      </c>
      <c r="X84" s="6" t="n">
        <v>52.22</v>
      </c>
      <c r="Y84" s="6" t="n">
        <v>53.05</v>
      </c>
      <c r="Z84" s="6" t="n">
        <v>61.84</v>
      </c>
      <c r="AA84" s="6" t="n">
        <v>51.08</v>
      </c>
      <c r="AB84" s="6" t="n">
        <v>61.33</v>
      </c>
      <c r="AC84" s="6" t="n">
        <v>44.01</v>
      </c>
      <c r="AD84" s="6" t="n">
        <v>49.27</v>
      </c>
      <c r="AE84" s="6" t="n">
        <v>48.41</v>
      </c>
      <c r="AF84" s="6" t="n">
        <v>48.27</v>
      </c>
      <c r="AG84" s="6" t="n">
        <v>50.56</v>
      </c>
      <c r="AH84" s="6" t="n">
        <v>56.99</v>
      </c>
      <c r="AI84" s="6" t="n">
        <v>56.95</v>
      </c>
      <c r="AJ84" s="6" t="n">
        <v>50.41</v>
      </c>
      <c r="AK84" s="6" t="n">
        <v>51.88</v>
      </c>
      <c r="AL84" s="6" t="n">
        <v>52.19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5" t="inlineStr">
        <is>
          <t>키워드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</row>
    <row r="2">
      <c r="A2" s="3" t="inlineStr">
        <is>
          <t>서울치과</t>
        </is>
      </c>
      <c r="B2" s="7">
        <f>IFERROR(AVERAGE(월별지수!G2,월별지수!S2,월별지수!AE2)/키워드지표!$C2*100,"")</f>
        <v>110.841947</v>
      </c>
      <c r="C2" s="7">
        <f>IFERROR(AVERAGE(월별지수!H2,월별지수!T2,월별지수!AF2)/키워드지표!$C2*100,"")</f>
        <v>103.4249093</v>
      </c>
      <c r="D2" s="7">
        <f>IFERROR(AVERAGE(월별지수!I2,월별지수!U2,월별지수!AG2)/키워드지표!$C2*100,"")</f>
        <v>102.6795038</v>
      </c>
      <c r="E2" s="7">
        <f>IFERROR(AVERAGE(월별지수!J2,월별지수!V2,월별지수!AH2)/키워드지표!$C2*100,"")</f>
        <v>94.39422899</v>
      </c>
      <c r="F2" s="7">
        <f>IFERROR(AVERAGE(월별지수!K2,월별지수!W2,월별지수!AI2)/키워드지표!$C2*100,"")</f>
        <v>101.3525565</v>
      </c>
      <c r="G2" s="7">
        <f>IFERROR(AVERAGE(월별지수!L2,월별지수!X2,월별지수!AJ2)/키워드지표!$C2*100,"")</f>
        <v>92.80923169</v>
      </c>
      <c r="H2" s="7">
        <f>IFERROR(AVERAGE(월별지수!M2,월별지수!Y2,월별지수!AK2)/키워드지표!$C2*100,"")</f>
        <v>101.9750863</v>
      </c>
      <c r="I2" s="7">
        <f>IFERROR(AVERAGE(월별지수!N2,월별지수!Z2,월별지수!AL2)/키워드지표!$C2*100,"")</f>
        <v>102.3928196</v>
      </c>
      <c r="J2" s="7">
        <f>IFERROR(AVERAGE(월별지수!C2,월별지수!O2,월별지수!AA2)/키워드지표!$C2*100,"")</f>
        <v>92.15394241</v>
      </c>
      <c r="K2" s="7">
        <f>IFERROR(AVERAGE(월별지수!D2,월별지수!P2,월별지수!AB2)/키워드지표!$C2*100,"")</f>
        <v>97.42901619</v>
      </c>
      <c r="L2" s="7">
        <f>IFERROR(AVERAGE(월별지수!E2,월별지수!Q2,월별지수!AC2)/키워드지표!$C2*100,"")</f>
        <v>95.00035696</v>
      </c>
      <c r="M2" s="7">
        <f>IFERROR(AVERAGE(월별지수!F2,월별지수!R2,월별지수!AD2)/키워드지표!$C2*100,"")</f>
        <v>105.5464013</v>
      </c>
    </row>
    <row r="3">
      <c r="A3" s="3" t="inlineStr">
        <is>
          <t>부산치과</t>
        </is>
      </c>
      <c r="B3" s="7">
        <f>IFERROR(AVERAGE(월별지수!G3,월별지수!S3,월별지수!AE3)/키워드지표!$C3*100,"")</f>
        <v>93.66567667</v>
      </c>
      <c r="C3" s="7">
        <f>IFERROR(AVERAGE(월별지수!H3,월별지수!T3,월별지수!AF3)/키워드지표!$C3*100,"")</f>
        <v>88.17638809</v>
      </c>
      <c r="D3" s="7">
        <f>IFERROR(AVERAGE(월별지수!I3,월별지수!U3,월별지수!AG3)/키워드지표!$C3*100,"")</f>
        <v>147.4963109</v>
      </c>
      <c r="E3" s="7">
        <f>IFERROR(AVERAGE(월별지수!J3,월별지수!V3,월별지수!AH3)/키워드지표!$C3*100,"")</f>
        <v>129.3364376</v>
      </c>
      <c r="F3" s="7">
        <f>IFERROR(AVERAGE(월별지수!K3,월별지수!W3,월별지수!AI3)/키워드지표!$C3*100,"")</f>
        <v>93.44934812</v>
      </c>
      <c r="G3" s="7">
        <f>IFERROR(AVERAGE(월별지수!L3,월별지수!X3,월별지수!AJ3)/키워드지표!$C3*100,"")</f>
        <v>73.2150593</v>
      </c>
      <c r="H3" s="7">
        <f>IFERROR(AVERAGE(월별지수!M3,월별지수!Y3,월별지수!AK3)/키워드지표!$C3*100,"")</f>
        <v>166.1235968</v>
      </c>
      <c r="I3" s="7">
        <f>IFERROR(AVERAGE(월별지수!N3,월별지수!Z3,월별지수!AL3)/키워드지표!$C3*100,"")</f>
        <v>121.0696657</v>
      </c>
      <c r="J3" s="7">
        <f>IFERROR(AVERAGE(월별지수!C3,월별지수!O3,월별지수!AA3)/키워드지표!$C3*100,"")</f>
        <v>76.2436375</v>
      </c>
      <c r="K3" s="7">
        <f>IFERROR(AVERAGE(월별지수!D3,월별지수!P3,월별지수!AB3)/키워드지표!$C3*100,"")</f>
        <v>58.23828</v>
      </c>
      <c r="L3" s="7">
        <f>IFERROR(AVERAGE(월별지수!E3,월별지수!Q3,월별지수!AC3)/키워드지표!$C3*100,"")</f>
        <v>63.48421511</v>
      </c>
      <c r="M3" s="7">
        <f>IFERROR(AVERAGE(월별지수!F3,월별지수!R3,월별지수!AD3)/키워드지표!$C3*100,"")</f>
        <v>89.50138433</v>
      </c>
    </row>
    <row r="4">
      <c r="A4" s="3" t="inlineStr">
        <is>
          <t>대구치과</t>
        </is>
      </c>
      <c r="B4" s="7">
        <f>IFERROR(AVERAGE(월별지수!G4,월별지수!S4,월별지수!AE4)/키워드지표!$C4*100,"")</f>
        <v>75.00526942</v>
      </c>
      <c r="C4" s="7">
        <f>IFERROR(AVERAGE(월별지수!H4,월별지수!T4,월별지수!AF4)/키워드지표!$C4*100,"")</f>
        <v>83.72716171</v>
      </c>
      <c r="D4" s="7">
        <f>IFERROR(AVERAGE(월별지수!I4,월별지수!U4,월별지수!AG4)/키워드지표!$C4*100,"")</f>
        <v>141.1692814</v>
      </c>
      <c r="E4" s="7">
        <f>IFERROR(AVERAGE(월별지수!J4,월별지수!V4,월별지수!AH4)/키워드지표!$C4*100,"")</f>
        <v>96.44741788</v>
      </c>
      <c r="F4" s="7">
        <f>IFERROR(AVERAGE(월별지수!K4,월별지수!W4,월별지수!AI4)/키워드지표!$C4*100,"")</f>
        <v>88.74479234</v>
      </c>
      <c r="G4" s="7">
        <f>IFERROR(AVERAGE(월별지수!L4,월별지수!X4,월별지수!AJ4)/키워드지표!$C4*100,"")</f>
        <v>103.5297712</v>
      </c>
      <c r="H4" s="7">
        <f>IFERROR(AVERAGE(월별지수!M4,월별지수!Y4,월별지수!AK4)/키워드지표!$C4*100,"")</f>
        <v>98.71307366</v>
      </c>
      <c r="I4" s="7">
        <f>IFERROR(AVERAGE(월별지수!N4,월별지수!Z4,월별지수!AL4)/키워드지표!$C4*100,"")</f>
        <v>108.0377719</v>
      </c>
      <c r="J4" s="7">
        <f>IFERROR(AVERAGE(월별지수!C4,월별지수!O4,월별지수!AA4)/키워드지표!$C4*100,"")</f>
        <v>99.76726615</v>
      </c>
      <c r="K4" s="7">
        <f>IFERROR(AVERAGE(월별지수!D4,월별지수!P4,월별지수!AB4)/키워드지표!$C4*100,"")</f>
        <v>123.0062108</v>
      </c>
      <c r="L4" s="7">
        <f>IFERROR(AVERAGE(월별지수!E4,월별지수!Q4,월별지수!AC4)/키워드지표!$C4*100,"")</f>
        <v>98.1772409</v>
      </c>
      <c r="M4" s="7">
        <f>IFERROR(AVERAGE(월별지수!F4,월별지수!R4,월별지수!AD4)/키워드지표!$C4*100,"")</f>
        <v>83.67474263</v>
      </c>
    </row>
    <row r="5">
      <c r="A5" s="3" t="inlineStr">
        <is>
          <t>인천치과</t>
        </is>
      </c>
      <c r="B5" s="7">
        <f>IFERROR(AVERAGE(월별지수!G5,월별지수!S5,월별지수!AE5)/키워드지표!$C5*100,"")</f>
        <v>107.091531</v>
      </c>
      <c r="C5" s="7">
        <f>IFERROR(AVERAGE(월별지수!H5,월별지수!T5,월별지수!AF5)/키워드지표!$C5*100,"")</f>
        <v>95.00397631</v>
      </c>
      <c r="D5" s="7">
        <f>IFERROR(AVERAGE(월별지수!I5,월별지수!U5,월별지수!AG5)/키워드지표!$C5*100,"")</f>
        <v>85.0872632</v>
      </c>
      <c r="E5" s="7">
        <f>IFERROR(AVERAGE(월별지수!J5,월별지수!V5,월별지수!AH5)/키워드지표!$C5*100,"")</f>
        <v>78.16732591</v>
      </c>
      <c r="F5" s="7">
        <f>IFERROR(AVERAGE(월별지수!K5,월별지수!W5,월별지수!AI5)/키워드지표!$C5*100,"")</f>
        <v>100.121368</v>
      </c>
      <c r="G5" s="7">
        <f>IFERROR(AVERAGE(월별지수!L5,월별지수!X5,월별지수!AJ5)/키워드지표!$C5*100,"")</f>
        <v>100.182768</v>
      </c>
      <c r="H5" s="7">
        <f>IFERROR(AVERAGE(월별지수!M5,월별지수!Y5,월별지수!AK5)/키워드지표!$C5*100,"")</f>
        <v>117.4937725</v>
      </c>
      <c r="I5" s="7">
        <f>IFERROR(AVERAGE(월별지수!N5,월별지수!Z5,월별지수!AL5)/키워드지표!$C5*100,"")</f>
        <v>107.8504976</v>
      </c>
      <c r="J5" s="7">
        <f>IFERROR(AVERAGE(월별지수!C5,월별지수!O5,월별지수!AA5)/키워드지표!$C5*100,"")</f>
        <v>88.88765067</v>
      </c>
      <c r="K5" s="7">
        <f>IFERROR(AVERAGE(월별지수!D5,월별지수!P5,월별지수!AB5)/키워드지표!$C5*100,"")</f>
        <v>101.1537858</v>
      </c>
      <c r="L5" s="7">
        <f>IFERROR(AVERAGE(월별지수!E5,월별지수!Q5,월별지수!AC5)/키워드지표!$C5*100,"")</f>
        <v>101.6225592</v>
      </c>
      <c r="M5" s="7">
        <f>IFERROR(AVERAGE(월별지수!F5,월별지수!R5,월별지수!AD5)/키워드지표!$C5*100,"")</f>
        <v>117.3375017</v>
      </c>
    </row>
    <row r="6">
      <c r="A6" s="3" t="inlineStr">
        <is>
          <t>광주치과</t>
        </is>
      </c>
      <c r="B6" s="7">
        <f>IFERROR(AVERAGE(월별지수!G6,월별지수!S6,월별지수!AE6)/키워드지표!$C6*100,"")</f>
        <v>97.67442302</v>
      </c>
      <c r="C6" s="7">
        <f>IFERROR(AVERAGE(월별지수!H6,월별지수!T6,월별지수!AF6)/키워드지표!$C6*100,"")</f>
        <v>119.8346042</v>
      </c>
      <c r="D6" s="7">
        <f>IFERROR(AVERAGE(월별지수!I6,월별지수!U6,월별지수!AG6)/키워드지표!$C6*100,"")</f>
        <v>101.9463273</v>
      </c>
      <c r="E6" s="7">
        <f>IFERROR(AVERAGE(월별지수!J6,월별지수!V6,월별지수!AH6)/키워드지표!$C6*100,"")</f>
        <v>83.81573324</v>
      </c>
      <c r="F6" s="7">
        <f>IFERROR(AVERAGE(월별지수!K6,월별지수!W6,월별지수!AI6)/키워드지표!$C6*100,"")</f>
        <v>97.1371382</v>
      </c>
      <c r="G6" s="7">
        <f>IFERROR(AVERAGE(월별지수!L6,월별지수!X6,월별지수!AJ6)/키워드지표!$C6*100,"")</f>
        <v>89.19381216</v>
      </c>
      <c r="H6" s="7">
        <f>IFERROR(AVERAGE(월별지수!M6,월별지수!Y6,월별지수!AK6)/키워드지표!$C6*100,"")</f>
        <v>91.81700176</v>
      </c>
      <c r="I6" s="7">
        <f>IFERROR(AVERAGE(월별지수!N6,월별지수!Z6,월별지수!AL6)/키워드지표!$C6*100,"")</f>
        <v>157.8709025</v>
      </c>
      <c r="J6" s="7">
        <f>IFERROR(AVERAGE(월별지수!C6,월별지수!O6,월별지수!AA6)/키워드지표!$C6*100,"")</f>
        <v>82.81493308</v>
      </c>
      <c r="K6" s="7">
        <f>IFERROR(AVERAGE(월별지수!D6,월별지수!P6,월별지수!AB6)/키워드지표!$C6*100,"")</f>
        <v>93.56053142</v>
      </c>
      <c r="L6" s="7">
        <f>IFERROR(AVERAGE(월별지수!E6,월별지수!Q6,월별지수!AC6)/키워드지표!$C6*100,"")</f>
        <v>88.92516975</v>
      </c>
      <c r="M6" s="7">
        <f>IFERROR(AVERAGE(월별지수!F6,월별지수!R6,월별지수!AD6)/키워드지표!$C6*100,"")</f>
        <v>95.40942329</v>
      </c>
    </row>
    <row r="7">
      <c r="A7" s="3" t="inlineStr">
        <is>
          <t>대전치과</t>
        </is>
      </c>
      <c r="B7" s="7">
        <f>IFERROR(AVERAGE(월별지수!G7,월별지수!S7,월별지수!AE7)/키워드지표!$C7*100,"")</f>
        <v>105.5305937</v>
      </c>
      <c r="C7" s="7">
        <f>IFERROR(AVERAGE(월별지수!H7,월별지수!T7,월별지수!AF7)/키워드지표!$C7*100,"")</f>
        <v>90.23940014</v>
      </c>
      <c r="D7" s="7">
        <f>IFERROR(AVERAGE(월별지수!I7,월별지수!U7,월별지수!AG7)/키워드지표!$C7*100,"")</f>
        <v>118.3258861</v>
      </c>
      <c r="E7" s="7">
        <f>IFERROR(AVERAGE(월별지수!J7,월별지수!V7,월별지수!AH7)/키워드지표!$C7*100,"")</f>
        <v>96.88833197</v>
      </c>
      <c r="F7" s="7">
        <f>IFERROR(AVERAGE(월별지수!K7,월별지수!W7,월별지수!AI7)/키워드지표!$C7*100,"")</f>
        <v>105.0857432</v>
      </c>
      <c r="G7" s="7">
        <f>IFERROR(AVERAGE(월별지수!L7,월별지수!X7,월별지수!AJ7)/키워드지표!$C7*100,"")</f>
        <v>93.41105876</v>
      </c>
      <c r="H7" s="7">
        <f>IFERROR(AVERAGE(월별지수!M7,월별지수!Y7,월별지수!AK7)/키워드지표!$C7*100,"")</f>
        <v>104.6137341</v>
      </c>
      <c r="I7" s="7">
        <f>IFERROR(AVERAGE(월별지수!N7,월별지수!Z7,월별지수!AL7)/키워드지표!$C7*100,"")</f>
        <v>105.8124377</v>
      </c>
      <c r="J7" s="7">
        <f>IFERROR(AVERAGE(월별지수!C7,월별지수!O7,월별지수!AA7)/키워드지표!$C7*100,"")</f>
        <v>90.4601275</v>
      </c>
      <c r="K7" s="7">
        <f>IFERROR(AVERAGE(월별지수!D7,월별지수!P7,월별지수!AB7)/키워드지표!$C7*100,"")</f>
        <v>95.13271634</v>
      </c>
      <c r="L7" s="7">
        <f>IFERROR(AVERAGE(월별지수!E7,월별지수!Q7,월별지수!AC7)/키워드지표!$C7*100,"")</f>
        <v>96.13786686</v>
      </c>
      <c r="M7" s="7">
        <f>IFERROR(AVERAGE(월별지수!F7,월별지수!R7,월별지수!AD7)/키워드지표!$C7*100,"")</f>
        <v>98.36210365</v>
      </c>
    </row>
    <row r="8">
      <c r="A8" s="3" t="inlineStr">
        <is>
          <t>울산치과</t>
        </is>
      </c>
      <c r="B8" s="7">
        <f>IFERROR(AVERAGE(월별지수!G8,월별지수!S8,월별지수!AE8)/키워드지표!$C8*100,"")</f>
        <v>74.48808772</v>
      </c>
      <c r="C8" s="7">
        <f>IFERROR(AVERAGE(월별지수!H8,월별지수!T8,월별지수!AF8)/키워드지표!$C8*100,"")</f>
        <v>98.39126331</v>
      </c>
      <c r="D8" s="7">
        <f>IFERROR(AVERAGE(월별지수!I8,월별지수!U8,월별지수!AG8)/키워드지표!$C8*100,"")</f>
        <v>163.2112051</v>
      </c>
      <c r="E8" s="7">
        <f>IFERROR(AVERAGE(월별지수!J8,월별지수!V8,월별지수!AH8)/키워드지표!$C8*100,"")</f>
        <v>153.4369321</v>
      </c>
      <c r="F8" s="7">
        <f>IFERROR(AVERAGE(월별지수!K8,월별지수!W8,월별지수!AI8)/키워드지표!$C8*100,"")</f>
        <v>127.1245879</v>
      </c>
      <c r="G8" s="7">
        <f>IFERROR(AVERAGE(월별지수!L8,월별지수!X8,월별지수!AJ8)/키워드지표!$C8*100,"")</f>
        <v>80.93746902</v>
      </c>
      <c r="H8" s="7">
        <f>IFERROR(AVERAGE(월별지수!M8,월별지수!Y8,월별지수!AK8)/키워드지표!$C8*100,"")</f>
        <v>101.9794804</v>
      </c>
      <c r="I8" s="7">
        <f>IFERROR(AVERAGE(월별지수!N8,월별지수!Z8,월별지수!AL8)/키워드지표!$C8*100,"")</f>
        <v>94.29213118</v>
      </c>
      <c r="J8" s="7">
        <f>IFERROR(AVERAGE(월별지수!C8,월별지수!O8,월별지수!AA8)/키워드지표!$C8*100,"")</f>
        <v>71.35967412</v>
      </c>
      <c r="K8" s="7">
        <f>IFERROR(AVERAGE(월별지수!D8,월별지수!P8,월별지수!AB8)/키워드지표!$C8*100,"")</f>
        <v>83.75538962</v>
      </c>
      <c r="L8" s="7">
        <f>IFERROR(AVERAGE(월별지수!E8,월별지수!Q8,월별지수!AC8)/키워드지표!$C8*100,"")</f>
        <v>78.44181327</v>
      </c>
      <c r="M8" s="7">
        <f>IFERROR(AVERAGE(월별지수!F8,월별지수!R8,월별지수!AD8)/키워드지표!$C8*100,"")</f>
        <v>72.58196625</v>
      </c>
    </row>
    <row r="9">
      <c r="A9" s="3" t="inlineStr">
        <is>
          <t>서울한의원</t>
        </is>
      </c>
      <c r="B9" s="7">
        <f>IFERROR(AVERAGE(월별지수!G9,월별지수!S9,월별지수!AE9)/키워드지표!$C9*100,"")</f>
        <v>101.3937635</v>
      </c>
      <c r="C9" s="7">
        <f>IFERROR(AVERAGE(월별지수!H9,월별지수!T9,월별지수!AF9)/키워드지표!$C9*100,"")</f>
        <v>96.16725909</v>
      </c>
      <c r="D9" s="7">
        <f>IFERROR(AVERAGE(월별지수!I9,월별지수!U9,월별지수!AG9)/키워드지표!$C9*100,"")</f>
        <v>96.18027478</v>
      </c>
      <c r="E9" s="7">
        <f>IFERROR(AVERAGE(월별지수!J9,월별지수!V9,월별지수!AH9)/키워드지표!$C9*100,"")</f>
        <v>94.35103138</v>
      </c>
      <c r="F9" s="7">
        <f>IFERROR(AVERAGE(월별지수!K9,월별지수!W9,월별지수!AI9)/키워드지표!$C9*100,"")</f>
        <v>109.2204216</v>
      </c>
      <c r="G9" s="7">
        <f>IFERROR(AVERAGE(월별지수!L9,월별지수!X9,월별지수!AJ9)/키워드지표!$C9*100,"")</f>
        <v>100.5574847</v>
      </c>
      <c r="H9" s="7">
        <f>IFERROR(AVERAGE(월별지수!M9,월별지수!Y9,월별지수!AK9)/키워드지표!$C9*100,"")</f>
        <v>105.5879662</v>
      </c>
      <c r="I9" s="7">
        <f>IFERROR(AVERAGE(월별지수!N9,월별지수!Z9,월별지수!AL9)/키워드지표!$C9*100,"")</f>
        <v>109.6777117</v>
      </c>
      <c r="J9" s="7">
        <f>IFERROR(AVERAGE(월별지수!C9,월별지수!O9,월별지수!AA9)/키워드지표!$C9*100,"")</f>
        <v>103.5627413</v>
      </c>
      <c r="K9" s="7">
        <f>IFERROR(AVERAGE(월별지수!D9,월별지수!P9,월별지수!AB9)/키워드지표!$C9*100,"")</f>
        <v>107.260441</v>
      </c>
      <c r="L9" s="7">
        <f>IFERROR(AVERAGE(월별지수!E9,월별지수!Q9,월별지수!AC9)/키워드지표!$C9*100,"")</f>
        <v>87.97471087</v>
      </c>
      <c r="M9" s="7">
        <f>IFERROR(AVERAGE(월별지수!F9,월별지수!R9,월별지수!AD9)/키워드지표!$C9*100,"")</f>
        <v>88.06619377</v>
      </c>
    </row>
    <row r="10">
      <c r="A10" s="3" t="inlineStr">
        <is>
          <t>부산한의원</t>
        </is>
      </c>
      <c r="B10" s="7">
        <f>IFERROR(AVERAGE(월별지수!G10,월별지수!S10,월별지수!AE10)/키워드지표!$C10*100,"")</f>
        <v>102.3523823</v>
      </c>
      <c r="C10" s="7">
        <f>IFERROR(AVERAGE(월별지수!H10,월별지수!T10,월별지수!AF10)/키워드지표!$C10*100,"")</f>
        <v>90.35910874</v>
      </c>
      <c r="D10" s="7">
        <f>IFERROR(AVERAGE(월별지수!I10,월별지수!U10,월별지수!AG10)/키워드지표!$C10*100,"")</f>
        <v>115.6389851</v>
      </c>
      <c r="E10" s="7">
        <f>IFERROR(AVERAGE(월별지수!J10,월별지수!V10,월별지수!AH10)/키워드지표!$C10*100,"")</f>
        <v>125.1059864</v>
      </c>
      <c r="F10" s="7">
        <f>IFERROR(AVERAGE(월별지수!K10,월별지수!W10,월별지수!AI10)/키워드지표!$C10*100,"")</f>
        <v>106.1374608</v>
      </c>
      <c r="G10" s="7">
        <f>IFERROR(AVERAGE(월별지수!L10,월별지수!X10,월별지수!AJ10)/키워드지표!$C10*100,"")</f>
        <v>111.4572812</v>
      </c>
      <c r="H10" s="7">
        <f>IFERROR(AVERAGE(월별지수!M10,월별지수!Y10,월별지수!AK10)/키워드지표!$C10*100,"")</f>
        <v>102.3351291</v>
      </c>
      <c r="I10" s="7">
        <f>IFERROR(AVERAGE(월별지수!N10,월별지수!Z10,월별지수!AL10)/키워드지표!$C10*100,"")</f>
        <v>83.59077943</v>
      </c>
      <c r="J10" s="7">
        <f>IFERROR(AVERAGE(월별지수!C10,월별지수!O10,월별지수!AA10)/키워드지표!$C10*100,"")</f>
        <v>86.00497197</v>
      </c>
      <c r="K10" s="7">
        <f>IFERROR(AVERAGE(월별지수!D10,월별지수!P10,월별지수!AB10)/키워드지표!$C10*100,"")</f>
        <v>135.7973372</v>
      </c>
      <c r="L10" s="7">
        <f>IFERROR(AVERAGE(월별지수!E10,월별지수!Q10,월별지수!AC10)/키워드지표!$C10*100,"")</f>
        <v>72.13209079</v>
      </c>
      <c r="M10" s="7">
        <f>IFERROR(AVERAGE(월별지수!F10,월별지수!R10,월별지수!AD10)/키워드지표!$C10*100,"")</f>
        <v>69.08848684</v>
      </c>
    </row>
    <row r="11">
      <c r="A11" s="3" t="inlineStr">
        <is>
          <t>대구한의원</t>
        </is>
      </c>
      <c r="B11" s="7">
        <f>IFERROR(AVERAGE(월별지수!G11,월별지수!S11,월별지수!AE11)/키워드지표!$C11*100,"")</f>
        <v>117.6633439</v>
      </c>
      <c r="C11" s="7">
        <f>IFERROR(AVERAGE(월별지수!H11,월별지수!T11,월별지수!AF11)/키워드지표!$C11*100,"")</f>
        <v>104.6846905</v>
      </c>
      <c r="D11" s="7">
        <f>IFERROR(AVERAGE(월별지수!I11,월별지수!U11,월별지수!AG11)/키워드지표!$C11*100,"")</f>
        <v>123.4371256</v>
      </c>
      <c r="E11" s="7">
        <f>IFERROR(AVERAGE(월별지수!J11,월별지수!V11,월별지수!AH11)/키워드지표!$C11*100,"")</f>
        <v>123.4617971</v>
      </c>
      <c r="F11" s="7">
        <f>IFERROR(AVERAGE(월별지수!K11,월별지수!W11,월별지수!AI11)/키워드지표!$C11*100,"")</f>
        <v>111.2480396</v>
      </c>
      <c r="G11" s="7">
        <f>IFERROR(AVERAGE(월별지수!L11,월별지수!X11,월별지수!AJ11)/키워드지표!$C11*100,"")</f>
        <v>86.21187115</v>
      </c>
      <c r="H11" s="7">
        <f>IFERROR(AVERAGE(월별지수!M11,월별지수!Y11,월별지수!AK11)/키워드지표!$C11*100,"")</f>
        <v>98.28582867</v>
      </c>
      <c r="I11" s="7">
        <f>IFERROR(AVERAGE(월별지수!N11,월별지수!Z11,월별지수!AL11)/키워드지표!$C11*100,"")</f>
        <v>101.1644825</v>
      </c>
      <c r="J11" s="7">
        <f>IFERROR(AVERAGE(월별지수!C11,월별지수!O11,월별지수!AA11)/키워드지표!$C11*100,"")</f>
        <v>80.30651855</v>
      </c>
      <c r="K11" s="7">
        <f>IFERROR(AVERAGE(월별지수!D11,월별지수!P11,월별지수!AB11)/키워드지표!$C11*100,"")</f>
        <v>72.75618252</v>
      </c>
      <c r="L11" s="7">
        <f>IFERROR(AVERAGE(월별지수!E11,월별지수!Q11,월별지수!AC11)/키워드지표!$C11*100,"")</f>
        <v>83.48126216</v>
      </c>
      <c r="M11" s="7">
        <f>IFERROR(AVERAGE(월별지수!F11,월별지수!R11,월별지수!AD11)/키워드지표!$C11*100,"")</f>
        <v>97.29885757</v>
      </c>
    </row>
    <row r="12">
      <c r="A12" s="3" t="inlineStr">
        <is>
          <t>인천한의원</t>
        </is>
      </c>
      <c r="B12" s="7">
        <f>IFERROR(AVERAGE(월별지수!G12,월별지수!S12,월별지수!AE12)/키워드지표!$C12*100,"")</f>
        <v>87.34908265</v>
      </c>
      <c r="C12" s="7">
        <f>IFERROR(AVERAGE(월별지수!H12,월별지수!T12,월별지수!AF12)/키워드지표!$C12*100,"")</f>
        <v>80.56234584</v>
      </c>
      <c r="D12" s="7">
        <f>IFERROR(AVERAGE(월별지수!I12,월별지수!U12,월별지수!AG12)/키워드지표!$C12*100,"")</f>
        <v>95.65801653</v>
      </c>
      <c r="E12" s="7">
        <f>IFERROR(AVERAGE(월별지수!J12,월별지수!V12,월별지수!AH12)/키워드지표!$C12*100,"")</f>
        <v>100.2787742</v>
      </c>
      <c r="F12" s="7">
        <f>IFERROR(AVERAGE(월별지수!K12,월별지수!W12,월별지수!AI12)/키워드지표!$C12*100,"")</f>
        <v>85.47190308</v>
      </c>
      <c r="G12" s="7">
        <f>IFERROR(AVERAGE(월별지수!L12,월별지수!X12,월별지수!AJ12)/키워드지표!$C12*100,"")</f>
        <v>74.82250875</v>
      </c>
      <c r="H12" s="7">
        <f>IFERROR(AVERAGE(월별지수!M12,월별지수!Y12,월별지수!AK12)/키워드지표!$C12*100,"")</f>
        <v>81.57914663</v>
      </c>
      <c r="I12" s="7">
        <f>IFERROR(AVERAGE(월별지수!N12,월별지수!Z12,월별지수!AL12)/키워드지표!$C12*100,"")</f>
        <v>85.05674582</v>
      </c>
      <c r="J12" s="7">
        <f>IFERROR(AVERAGE(월별지수!C12,월별지수!O12,월별지수!AA12)/키워드지표!$C12*100,"")</f>
        <v>118.2804649</v>
      </c>
      <c r="K12" s="7">
        <f>IFERROR(AVERAGE(월별지수!D12,월별지수!P12,월별지수!AB12)/키워드지표!$C12*100,"")</f>
        <v>125.3078545</v>
      </c>
      <c r="L12" s="7">
        <f>IFERROR(AVERAGE(월별지수!E12,월별지수!Q12,월별지수!AC12)/키워드지표!$C12*100,"")</f>
        <v>160.252308</v>
      </c>
      <c r="M12" s="7">
        <f>IFERROR(AVERAGE(월별지수!F12,월별지수!R12,월별지수!AD12)/키워드지표!$C12*100,"")</f>
        <v>105.3808491</v>
      </c>
    </row>
    <row r="13">
      <c r="A13" s="3" t="inlineStr">
        <is>
          <t>광주한의원</t>
        </is>
      </c>
      <c r="B13" s="7">
        <f>IFERROR(AVERAGE(월별지수!G13,월별지수!S13,월별지수!AE13)/키워드지표!$C13*100,"")</f>
        <v>86.64878496</v>
      </c>
      <c r="C13" s="7">
        <f>IFERROR(AVERAGE(월별지수!H13,월별지수!T13,월별지수!AF13)/키워드지표!$C13*100,"")</f>
        <v>105.9110917</v>
      </c>
      <c r="D13" s="7">
        <f>IFERROR(AVERAGE(월별지수!I13,월별지수!U13,월별지수!AG13)/키워드지표!$C13*100,"")</f>
        <v>95.87012973</v>
      </c>
      <c r="E13" s="7">
        <f>IFERROR(AVERAGE(월별지수!J13,월별지수!V13,월별지수!AH13)/키워드지표!$C13*100,"")</f>
        <v>95.55485642</v>
      </c>
      <c r="F13" s="7">
        <f>IFERROR(AVERAGE(월별지수!K13,월별지수!W13,월별지수!AI13)/키워드지표!$C13*100,"")</f>
        <v>90.06934864</v>
      </c>
      <c r="G13" s="7">
        <f>IFERROR(AVERAGE(월별지수!L13,월별지수!X13,월별지수!AJ13)/키워드지표!$C13*100,"")</f>
        <v>104.3978625</v>
      </c>
      <c r="H13" s="7">
        <f>IFERROR(AVERAGE(월별지수!M13,월별지수!Y13,월별지수!AK13)/키워드지표!$C13*100,"")</f>
        <v>98.78625971</v>
      </c>
      <c r="I13" s="7">
        <f>IFERROR(AVERAGE(월별지수!N13,월별지수!Z13,월별지수!AL13)/키워드지표!$C13*100,"")</f>
        <v>106.8411094</v>
      </c>
      <c r="J13" s="7">
        <f>IFERROR(AVERAGE(월별지수!C13,월별지수!O13,월별지수!AA13)/키워드지표!$C13*100,"")</f>
        <v>129.5870094</v>
      </c>
      <c r="K13" s="7">
        <f>IFERROR(AVERAGE(월별지수!D13,월별지수!P13,월별지수!AB13)/키워드지표!$C13*100,"")</f>
        <v>127.0491822</v>
      </c>
      <c r="L13" s="7">
        <f>IFERROR(AVERAGE(월별지수!E13,월별지수!Q13,월별지수!AC13)/키워드지표!$C13*100,"")</f>
        <v>80.97415269</v>
      </c>
      <c r="M13" s="7">
        <f>IFERROR(AVERAGE(월별지수!F13,월별지수!R13,월별지수!AD13)/키워드지표!$C13*100,"")</f>
        <v>78.31021263</v>
      </c>
    </row>
    <row r="14">
      <c r="A14" s="3" t="inlineStr">
        <is>
          <t>대전한의원</t>
        </is>
      </c>
      <c r="B14" s="7">
        <f>IFERROR(AVERAGE(월별지수!G14,월별지수!S14,월별지수!AE14)/키워드지표!$C14*100,"")</f>
        <v>82.99351862</v>
      </c>
      <c r="C14" s="7">
        <f>IFERROR(AVERAGE(월별지수!H14,월별지수!T14,월별지수!AF14)/키워드지표!$C14*100,"")</f>
        <v>148.81854</v>
      </c>
      <c r="D14" s="7">
        <f>IFERROR(AVERAGE(월별지수!I14,월별지수!U14,월별지수!AG14)/키워드지표!$C14*100,"")</f>
        <v>78.12607212</v>
      </c>
      <c r="E14" s="7">
        <f>IFERROR(AVERAGE(월별지수!J14,월별지수!V14,월별지수!AH14)/키워드지표!$C14*100,"")</f>
        <v>86.42723911</v>
      </c>
      <c r="F14" s="7">
        <f>IFERROR(AVERAGE(월별지수!K14,월별지수!W14,월별지수!AI14)/키워드지표!$C14*100,"")</f>
        <v>83.39535545</v>
      </c>
      <c r="G14" s="7">
        <f>IFERROR(AVERAGE(월별지수!L14,월별지수!X14,월별지수!AJ14)/키워드지표!$C14*100,"")</f>
        <v>79.9159673</v>
      </c>
      <c r="H14" s="7">
        <f>IFERROR(AVERAGE(월별지수!M14,월별지수!Y14,월별지수!AK14)/키워드지표!$C14*100,"")</f>
        <v>119.5771901</v>
      </c>
      <c r="I14" s="7">
        <f>IFERROR(AVERAGE(월별지수!N14,월별지수!Z14,월별지수!AL14)/키워드지표!$C14*100,"")</f>
        <v>110.9563845</v>
      </c>
      <c r="J14" s="7">
        <f>IFERROR(AVERAGE(월별지수!C14,월별지수!O14,월별지수!AA14)/키워드지표!$C14*100,"")</f>
        <v>104.2076725</v>
      </c>
      <c r="K14" s="7">
        <f>IFERROR(AVERAGE(월별지수!D14,월별지수!P14,월별지수!AB14)/키워드지표!$C14*100,"")</f>
        <v>120.2620997</v>
      </c>
      <c r="L14" s="7">
        <f>IFERROR(AVERAGE(월별지수!E14,월별지수!Q14,월별지수!AC14)/키워드지표!$C14*100,"")</f>
        <v>78.40002546</v>
      </c>
      <c r="M14" s="7">
        <f>IFERROR(AVERAGE(월별지수!F14,월별지수!R14,월별지수!AD14)/키워드지표!$C14*100,"")</f>
        <v>106.9199351</v>
      </c>
    </row>
    <row r="15">
      <c r="A15" s="3" t="inlineStr">
        <is>
          <t>울산한의원</t>
        </is>
      </c>
      <c r="B15" s="7">
        <f>IFERROR(AVERAGE(월별지수!G15,월별지수!S15,월별지수!AE15)/키워드지표!$C15*100,"")</f>
        <v>89.42489808</v>
      </c>
      <c r="C15" s="7">
        <f>IFERROR(AVERAGE(월별지수!H15,월별지수!T15,월별지수!AF15)/키워드지표!$C15*100,"")</f>
        <v>82.00196131</v>
      </c>
      <c r="D15" s="7">
        <f>IFERROR(AVERAGE(월별지수!I15,월별지수!U15,월별지수!AG15)/키워드지표!$C15*100,"")</f>
        <v>70.036052</v>
      </c>
      <c r="E15" s="7">
        <f>IFERROR(AVERAGE(월별지수!J15,월별지수!V15,월별지수!AH15)/키워드지표!$C15*100,"")</f>
        <v>75.09716085</v>
      </c>
      <c r="F15" s="7">
        <f>IFERROR(AVERAGE(월별지수!K15,월별지수!W15,월별지수!AI15)/키워드지표!$C15*100,"")</f>
        <v>92.75076373</v>
      </c>
      <c r="G15" s="7">
        <f>IFERROR(AVERAGE(월별지수!L15,월별지수!X15,월별지수!AJ15)/키워드지표!$C15*100,"")</f>
        <v>115.8149539</v>
      </c>
      <c r="H15" s="7">
        <f>IFERROR(AVERAGE(월별지수!M15,월별지수!Y15,월별지수!AK15)/키워드지표!$C15*100,"")</f>
        <v>117.285075</v>
      </c>
      <c r="I15" s="7">
        <f>IFERROR(AVERAGE(월별지수!N15,월별지수!Z15,월별지수!AL15)/키워드지표!$C15*100,"")</f>
        <v>167.9684396</v>
      </c>
      <c r="J15" s="7">
        <f>IFERROR(AVERAGE(월별지수!C15,월별지수!O15,월별지수!AA15)/키워드지표!$C15*100,"")</f>
        <v>135.7822144</v>
      </c>
      <c r="K15" s="7">
        <f>IFERROR(AVERAGE(월별지수!D15,월별지수!P15,월별지수!AB15)/키워드지표!$C15*100,"")</f>
        <v>111.9829774</v>
      </c>
      <c r="L15" s="7">
        <f>IFERROR(AVERAGE(월별지수!E15,월별지수!Q15,월별지수!AC15)/키워드지표!$C15*100,"")</f>
        <v>71.28926261</v>
      </c>
      <c r="M15" s="7">
        <f>IFERROR(AVERAGE(월별지수!F15,월별지수!R15,월별지수!AD15)/키워드지표!$C15*100,"")</f>
        <v>70.56624118</v>
      </c>
    </row>
    <row r="16">
      <c r="A16" s="3" t="inlineStr">
        <is>
          <t>서울피부과</t>
        </is>
      </c>
      <c r="B16" s="7">
        <f>IFERROR(AVERAGE(월별지수!G16,월별지수!S16,월별지수!AE16)/키워드지표!$C16*100,"")</f>
        <v>105.3340338</v>
      </c>
      <c r="C16" s="7">
        <f>IFERROR(AVERAGE(월별지수!H16,월별지수!T16,월별지수!AF16)/키워드지표!$C16*100,"")</f>
        <v>99.78527324</v>
      </c>
      <c r="D16" s="7">
        <f>IFERROR(AVERAGE(월별지수!I16,월별지수!U16,월별지수!AG16)/키워드지표!$C16*100,"")</f>
        <v>98.75309081</v>
      </c>
      <c r="E16" s="7">
        <f>IFERROR(AVERAGE(월별지수!J16,월별지수!V16,월별지수!AH16)/키워드지표!$C16*100,"")</f>
        <v>96.36844376</v>
      </c>
      <c r="F16" s="7">
        <f>IFERROR(AVERAGE(월별지수!K16,월별지수!W16,월별지수!AI16)/키워드지표!$C16*100,"")</f>
        <v>101.4758763</v>
      </c>
      <c r="G16" s="7">
        <f>IFERROR(AVERAGE(월별지수!L16,월별지수!X16,월별지수!AJ16)/키워드지표!$C16*100,"")</f>
        <v>96.56775956</v>
      </c>
      <c r="H16" s="7">
        <f>IFERROR(AVERAGE(월별지수!M16,월별지수!Y16,월별지수!AK16)/키워드지표!$C16*100,"")</f>
        <v>107.8254614</v>
      </c>
      <c r="I16" s="7">
        <f>IFERROR(AVERAGE(월별지수!N16,월별지수!Z16,월별지수!AL16)/키워드지표!$C16*100,"")</f>
        <v>108.0390126</v>
      </c>
      <c r="J16" s="7">
        <f>IFERROR(AVERAGE(월별지수!C16,월별지수!O16,월별지수!AA16)/키워드지표!$C16*100,"")</f>
        <v>102.5471938</v>
      </c>
      <c r="K16" s="7">
        <f>IFERROR(AVERAGE(월별지수!D16,월별지수!P16,월별지수!AB16)/키워드지표!$C16*100,"")</f>
        <v>105.4692753</v>
      </c>
      <c r="L16" s="7">
        <f>IFERROR(AVERAGE(월별지수!E16,월별지수!Q16,월별지수!AC16)/키워드지표!$C16*100,"")</f>
        <v>87.22133473</v>
      </c>
      <c r="M16" s="7">
        <f>IFERROR(AVERAGE(월별지수!F16,월별지수!R16,월별지수!AD16)/키워드지표!$C16*100,"")</f>
        <v>90.61324477</v>
      </c>
    </row>
    <row r="17">
      <c r="A17" s="3" t="inlineStr">
        <is>
          <t>부산피부과</t>
        </is>
      </c>
      <c r="B17" s="7">
        <f>IFERROR(AVERAGE(월별지수!G17,월별지수!S17,월별지수!AE17)/키워드지표!$C17*100,"")</f>
        <v>94.71924833</v>
      </c>
      <c r="C17" s="7">
        <f>IFERROR(AVERAGE(월별지수!H17,월별지수!T17,월별지수!AF17)/키워드지표!$C17*100,"")</f>
        <v>114.031959</v>
      </c>
      <c r="D17" s="7">
        <f>IFERROR(AVERAGE(월별지수!I17,월별지수!U17,월별지수!AG17)/키워드지표!$C17*100,"")</f>
        <v>155.0187997</v>
      </c>
      <c r="E17" s="7">
        <f>IFERROR(AVERAGE(월별지수!J17,월별지수!V17,월별지수!AH17)/키워드지표!$C17*100,"")</f>
        <v>97.93365509</v>
      </c>
      <c r="F17" s="7">
        <f>IFERROR(AVERAGE(월별지수!K17,월별지수!W17,월별지수!AI17)/키워드지표!$C17*100,"")</f>
        <v>83.79819487</v>
      </c>
      <c r="G17" s="7">
        <f>IFERROR(AVERAGE(월별지수!L17,월별지수!X17,월별지수!AJ17)/키워드지표!$C17*100,"")</f>
        <v>89.42339457</v>
      </c>
      <c r="H17" s="7">
        <f>IFERROR(AVERAGE(월별지수!M17,월별지수!Y17,월별지수!AK17)/키워드지표!$C17*100,"")</f>
        <v>117.4472692</v>
      </c>
      <c r="I17" s="7">
        <f>IFERROR(AVERAGE(월별지수!N17,월별지수!Z17,월별지수!AL17)/키워드지표!$C17*100,"")</f>
        <v>116.7655223</v>
      </c>
      <c r="J17" s="7">
        <f>IFERROR(AVERAGE(월별지수!C17,월별지수!O17,월별지수!AA17)/키워드지표!$C17*100,"")</f>
        <v>92.47312028</v>
      </c>
      <c r="K17" s="7">
        <f>IFERROR(AVERAGE(월별지수!D17,월별지수!P17,월별지수!AB17)/키워드지표!$C17*100,"")</f>
        <v>102.8079266</v>
      </c>
      <c r="L17" s="7">
        <f>IFERROR(AVERAGE(월별지수!E17,월별지수!Q17,월별지수!AC17)/키워드지표!$C17*100,"")</f>
        <v>66.27711969</v>
      </c>
      <c r="M17" s="7">
        <f>IFERROR(AVERAGE(월별지수!F17,월별지수!R17,월별지수!AD17)/키워드지표!$C17*100,"")</f>
        <v>69.30379037</v>
      </c>
    </row>
    <row r="18">
      <c r="A18" s="3" t="inlineStr">
        <is>
          <t>대구피부과</t>
        </is>
      </c>
      <c r="B18" s="7">
        <f>IFERROR(AVERAGE(월별지수!G18,월별지수!S18,월별지수!AE18)/키워드지표!$C18*100,"")</f>
        <v>101.8015705</v>
      </c>
      <c r="C18" s="7">
        <f>IFERROR(AVERAGE(월별지수!H18,월별지수!T18,월별지수!AF18)/키워드지표!$C18*100,"")</f>
        <v>101.5076027</v>
      </c>
      <c r="D18" s="7">
        <f>IFERROR(AVERAGE(월별지수!I18,월별지수!U18,월별지수!AG18)/키워드지표!$C18*100,"")</f>
        <v>115.5097999</v>
      </c>
      <c r="E18" s="7">
        <f>IFERROR(AVERAGE(월별지수!J18,월별지수!V18,월별지수!AH18)/키워드지표!$C18*100,"")</f>
        <v>123.6967161</v>
      </c>
      <c r="F18" s="7">
        <f>IFERROR(AVERAGE(월별지수!K18,월별지수!W18,월별지수!AI18)/키워드지표!$C18*100,"")</f>
        <v>97.40750972</v>
      </c>
      <c r="G18" s="7">
        <f>IFERROR(AVERAGE(월별지수!L18,월별지수!X18,월별지수!AJ18)/키워드지표!$C18*100,"")</f>
        <v>91.2916382</v>
      </c>
      <c r="H18" s="7">
        <f>IFERROR(AVERAGE(월별지수!M18,월별지수!Y18,월별지수!AK18)/키워드지표!$C18*100,"")</f>
        <v>102.6569591</v>
      </c>
      <c r="I18" s="7">
        <f>IFERROR(AVERAGE(월별지수!N18,월별지수!Z18,월별지수!AL18)/키워드지표!$C18*100,"")</f>
        <v>101.6070643</v>
      </c>
      <c r="J18" s="7">
        <f>IFERROR(AVERAGE(월별지수!C18,월별지수!O18,월별지수!AA18)/키워드지표!$C18*100,"")</f>
        <v>95.72547749</v>
      </c>
      <c r="K18" s="7">
        <f>IFERROR(AVERAGE(월별지수!D18,월별지수!P18,월별지수!AB18)/키워드지표!$C18*100,"")</f>
        <v>99.38350979</v>
      </c>
      <c r="L18" s="7">
        <f>IFERROR(AVERAGE(월별지수!E18,월별지수!Q18,월별지수!AC18)/키워드지표!$C18*100,"")</f>
        <v>82.6007728</v>
      </c>
      <c r="M18" s="7">
        <f>IFERROR(AVERAGE(월별지수!F18,월별지수!R18,월별지수!AD18)/키워드지표!$C18*100,"")</f>
        <v>86.81137937</v>
      </c>
    </row>
    <row r="19">
      <c r="A19" s="3" t="inlineStr">
        <is>
          <t>인천피부과</t>
        </is>
      </c>
      <c r="B19" s="7">
        <f>IFERROR(AVERAGE(월별지수!G19,월별지수!S19,월별지수!AE19)/키워드지표!$C19*100,"")</f>
        <v>97.00051164</v>
      </c>
      <c r="C19" s="7">
        <f>IFERROR(AVERAGE(월별지수!H19,월별지수!T19,월별지수!AF19)/키워드지표!$C19*100,"")</f>
        <v>107.9010785</v>
      </c>
      <c r="D19" s="7">
        <f>IFERROR(AVERAGE(월별지수!I19,월별지수!U19,월별지수!AG19)/키워드지표!$C19*100,"")</f>
        <v>108.0837354</v>
      </c>
      <c r="E19" s="7">
        <f>IFERROR(AVERAGE(월별지수!J19,월별지수!V19,월별지수!AH19)/키워드지표!$C19*100,"")</f>
        <v>139.6341866</v>
      </c>
      <c r="F19" s="7">
        <f>IFERROR(AVERAGE(월별지수!K19,월별지수!W19,월별지수!AI19)/키워드지표!$C19*100,"")</f>
        <v>117.9987258</v>
      </c>
      <c r="G19" s="7">
        <f>IFERROR(AVERAGE(월별지수!L19,월별지수!X19,월별지수!AJ19)/키워드지표!$C19*100,"")</f>
        <v>85.15688058</v>
      </c>
      <c r="H19" s="7">
        <f>IFERROR(AVERAGE(월별지수!M19,월별지수!Y19,월별지수!AK19)/키워드지표!$C19*100,"")</f>
        <v>120.9511415</v>
      </c>
      <c r="I19" s="7">
        <f>IFERROR(AVERAGE(월별지수!N19,월별지수!Z19,월별지수!AL19)/키워드지표!$C19*100,"")</f>
        <v>102.212893</v>
      </c>
      <c r="J19" s="7">
        <f>IFERROR(AVERAGE(월별지수!C19,월별지수!O19,월별지수!AA19)/키워드지표!$C19*100,"")</f>
        <v>77.37440233</v>
      </c>
      <c r="K19" s="7">
        <f>IFERROR(AVERAGE(월별지수!D19,월별지수!P19,월별지수!AB19)/키워드지표!$C19*100,"")</f>
        <v>87.94785382</v>
      </c>
      <c r="L19" s="7">
        <f>IFERROR(AVERAGE(월별지수!E19,월별지수!Q19,월별지수!AC19)/키워드지표!$C19*100,"")</f>
        <v>73.78476078</v>
      </c>
      <c r="M19" s="7">
        <f>IFERROR(AVERAGE(월별지수!F19,월별지수!R19,월별지수!AD19)/키워드지표!$C19*100,"")</f>
        <v>81.95382992</v>
      </c>
    </row>
    <row r="20">
      <c r="A20" s="3" t="inlineStr">
        <is>
          <t>광주피부과</t>
        </is>
      </c>
      <c r="B20" s="7">
        <f>IFERROR(AVERAGE(월별지수!G20,월별지수!S20,월별지수!AE20)/키워드지표!$C20*100,"")</f>
        <v>95.31135766</v>
      </c>
      <c r="C20" s="7">
        <f>IFERROR(AVERAGE(월별지수!H20,월별지수!T20,월별지수!AF20)/키워드지표!$C20*100,"")</f>
        <v>123.532424</v>
      </c>
      <c r="D20" s="7">
        <f>IFERROR(AVERAGE(월별지수!I20,월별지수!U20,월별지수!AG20)/키워드지표!$C20*100,"")</f>
        <v>106.9153021</v>
      </c>
      <c r="E20" s="7">
        <f>IFERROR(AVERAGE(월별지수!J20,월별지수!V20,월별지수!AH20)/키워드지표!$C20*100,"")</f>
        <v>86.84223843</v>
      </c>
      <c r="F20" s="7">
        <f>IFERROR(AVERAGE(월별지수!K20,월별지수!W20,월별지수!AI20)/키워드지표!$C20*100,"")</f>
        <v>112.64209</v>
      </c>
      <c r="G20" s="7">
        <f>IFERROR(AVERAGE(월별지수!L20,월별지수!X20,월별지수!AJ20)/키워드지표!$C20*100,"")</f>
        <v>110.9268467</v>
      </c>
      <c r="H20" s="7">
        <f>IFERROR(AVERAGE(월별지수!M20,월별지수!Y20,월별지수!AK20)/키워드지표!$C20*100,"")</f>
        <v>123.3692901</v>
      </c>
      <c r="I20" s="7">
        <f>IFERROR(AVERAGE(월별지수!N20,월별지수!Z20,월별지수!AL20)/키워드지표!$C20*100,"")</f>
        <v>118.3535747</v>
      </c>
      <c r="J20" s="7">
        <f>IFERROR(AVERAGE(월별지수!C20,월별지수!O20,월별지수!AA20)/키워드지표!$C20*100,"")</f>
        <v>92.97426038</v>
      </c>
      <c r="K20" s="7">
        <f>IFERROR(AVERAGE(월별지수!D20,월별지수!P20,월별지수!AB20)/키워드지표!$C20*100,"")</f>
        <v>82.0100361</v>
      </c>
      <c r="L20" s="7">
        <f>IFERROR(AVERAGE(월별지수!E20,월별지수!Q20,월별지수!AC20)/키워드지표!$C20*100,"")</f>
        <v>68.35951712</v>
      </c>
      <c r="M20" s="7">
        <f>IFERROR(AVERAGE(월별지수!F20,월별지수!R20,월별지수!AD20)/키워드지표!$C20*100,"")</f>
        <v>78.76306259</v>
      </c>
    </row>
    <row r="21">
      <c r="A21" s="3" t="inlineStr">
        <is>
          <t>대전피부과</t>
        </is>
      </c>
      <c r="B21" s="7">
        <f>IFERROR(AVERAGE(월별지수!G21,월별지수!S21,월별지수!AE21)/키워드지표!$C21*100,"")</f>
        <v>99.75366651</v>
      </c>
      <c r="C21" s="7">
        <f>IFERROR(AVERAGE(월별지수!H21,월별지수!T21,월별지수!AF21)/키워드지표!$C21*100,"")</f>
        <v>103.6762303</v>
      </c>
      <c r="D21" s="7">
        <f>IFERROR(AVERAGE(월별지수!I21,월별지수!U21,월별지수!AG21)/키워드지표!$C21*100,"")</f>
        <v>123.115523</v>
      </c>
      <c r="E21" s="7">
        <f>IFERROR(AVERAGE(월별지수!J21,월별지수!V21,월별지수!AH21)/키워드지표!$C21*100,"")</f>
        <v>124.0820923</v>
      </c>
      <c r="F21" s="7">
        <f>IFERROR(AVERAGE(월별지수!K21,월별지수!W21,월별지수!AI21)/키워드지표!$C21*100,"")</f>
        <v>103.7584273</v>
      </c>
      <c r="G21" s="7">
        <f>IFERROR(AVERAGE(월별지수!L21,월별지수!X21,월별지수!AJ21)/키워드지표!$C21*100,"")</f>
        <v>97.56330368</v>
      </c>
      <c r="H21" s="7">
        <f>IFERROR(AVERAGE(월별지수!M21,월별지수!Y21,월별지수!AK21)/키워드지표!$C21*100,"")</f>
        <v>95.02892745</v>
      </c>
      <c r="I21" s="7">
        <f>IFERROR(AVERAGE(월별지수!N21,월별지수!Z21,월별지수!AL21)/키워드지표!$C21*100,"")</f>
        <v>117.6768988</v>
      </c>
      <c r="J21" s="7">
        <f>IFERROR(AVERAGE(월별지수!C21,월별지수!O21,월별지수!AA21)/키워드지표!$C21*100,"")</f>
        <v>98.59836059</v>
      </c>
      <c r="K21" s="7">
        <f>IFERROR(AVERAGE(월별지수!D21,월별지수!P21,월별지수!AB21)/키워드지표!$C21*100,"")</f>
        <v>98.37155711</v>
      </c>
      <c r="L21" s="7">
        <f>IFERROR(AVERAGE(월별지수!E21,월별지수!Q21,월별지수!AC21)/키워드지표!$C21*100,"")</f>
        <v>69.18750269</v>
      </c>
      <c r="M21" s="7">
        <f>IFERROR(AVERAGE(월별지수!F21,월별지수!R21,월별지수!AD21)/키워드지표!$C21*100,"")</f>
        <v>69.18751016</v>
      </c>
    </row>
    <row r="22">
      <c r="A22" s="3" t="inlineStr">
        <is>
          <t>울산피부과</t>
        </is>
      </c>
      <c r="B22" s="7">
        <f>IFERROR(AVERAGE(월별지수!G22,월별지수!S22,월별지수!AE22)/키워드지표!$C22*100,"")</f>
        <v>103.5628215</v>
      </c>
      <c r="C22" s="7">
        <f>IFERROR(AVERAGE(월별지수!H22,월별지수!T22,월별지수!AF22)/키워드지표!$C22*100,"")</f>
        <v>111.9102276</v>
      </c>
      <c r="D22" s="7">
        <f>IFERROR(AVERAGE(월별지수!I22,월별지수!U22,월별지수!AG22)/키워드지표!$C22*100,"")</f>
        <v>110.8959711</v>
      </c>
      <c r="E22" s="7">
        <f>IFERROR(AVERAGE(월별지수!J22,월별지수!V22,월별지수!AH22)/키워드지표!$C22*100,"")</f>
        <v>99.36947424</v>
      </c>
      <c r="F22" s="7">
        <f>IFERROR(AVERAGE(월별지수!K22,월별지수!W22,월별지수!AI22)/키워드지표!$C22*100,"")</f>
        <v>102.3021933</v>
      </c>
      <c r="G22" s="7">
        <f>IFERROR(AVERAGE(월별지수!L22,월별지수!X22,월별지수!AJ22)/키워드지표!$C22*100,"")</f>
        <v>90.30394921</v>
      </c>
      <c r="H22" s="7">
        <f>IFERROR(AVERAGE(월별지수!M22,월별지수!Y22,월별지수!AK22)/키워드지표!$C22*100,"")</f>
        <v>112.9533257</v>
      </c>
      <c r="I22" s="7">
        <f>IFERROR(AVERAGE(월별지수!N22,월별지수!Z22,월별지수!AL22)/키워드지표!$C22*100,"")</f>
        <v>123.4603119</v>
      </c>
      <c r="J22" s="7">
        <f>IFERROR(AVERAGE(월별지수!C22,월별지수!O22,월별지수!AA22)/키워드지표!$C22*100,"")</f>
        <v>101.0861179</v>
      </c>
      <c r="K22" s="7">
        <f>IFERROR(AVERAGE(월별지수!D22,월별지수!P22,월별지수!AB22)/키워드지표!$C22*100,"")</f>
        <v>89.21368671</v>
      </c>
      <c r="L22" s="7">
        <f>IFERROR(AVERAGE(월별지수!E22,월별지수!Q22,월별지수!AC22)/키워드지표!$C22*100,"")</f>
        <v>73.0771052</v>
      </c>
      <c r="M22" s="7">
        <f>IFERROR(AVERAGE(월별지수!F22,월별지수!R22,월별지수!AD22)/키워드지표!$C22*100,"")</f>
        <v>81.86481557</v>
      </c>
    </row>
    <row r="23">
      <c r="A23" s="3" t="inlineStr">
        <is>
          <t>서울정형외과</t>
        </is>
      </c>
      <c r="B23" s="7">
        <f>IFERROR(AVERAGE(월별지수!G23,월별지수!S23,월별지수!AE23)/키워드지표!$C23*100,"")</f>
        <v>95.19783746</v>
      </c>
      <c r="C23" s="7">
        <f>IFERROR(AVERAGE(월별지수!H23,월별지수!T23,월별지수!AF23)/키워드지표!$C23*100,"")</f>
        <v>86.5678266</v>
      </c>
      <c r="D23" s="7">
        <f>IFERROR(AVERAGE(월별지수!I23,월별지수!U23,월별지수!AG23)/키워드지표!$C23*100,"")</f>
        <v>95.8943541</v>
      </c>
      <c r="E23" s="7">
        <f>IFERROR(AVERAGE(월별지수!J23,월별지수!V23,월별지수!AH23)/키워드지표!$C23*100,"")</f>
        <v>94.8737296</v>
      </c>
      <c r="F23" s="7">
        <f>IFERROR(AVERAGE(월별지수!K23,월별지수!W23,월별지수!AI23)/키워드지표!$C23*100,"")</f>
        <v>110.0663323</v>
      </c>
      <c r="G23" s="7">
        <f>IFERROR(AVERAGE(월별지수!L23,월별지수!X23,월별지수!AJ23)/키워드지표!$C23*100,"")</f>
        <v>104.9732777</v>
      </c>
      <c r="H23" s="7">
        <f>IFERROR(AVERAGE(월별지수!M23,월별지수!Y23,월별지수!AK23)/키워드지표!$C23*100,"")</f>
        <v>103.843945</v>
      </c>
      <c r="I23" s="7">
        <f>IFERROR(AVERAGE(월별지수!N23,월별지수!Z23,월별지수!AL23)/키워드지표!$C23*100,"")</f>
        <v>105.3074426</v>
      </c>
      <c r="J23" s="7">
        <f>IFERROR(AVERAGE(월별지수!C23,월별지수!O23,월별지수!AA23)/키워드지표!$C23*100,"")</f>
        <v>102.9602102</v>
      </c>
      <c r="K23" s="7">
        <f>IFERROR(AVERAGE(월별지수!D23,월별지수!P23,월별지수!AB23)/키워드지표!$C23*100,"")</f>
        <v>109.7462527</v>
      </c>
      <c r="L23" s="7">
        <f>IFERROR(AVERAGE(월별지수!E23,월별지수!Q23,월별지수!AC23)/키워드지표!$C23*100,"")</f>
        <v>93.33574479</v>
      </c>
      <c r="M23" s="7">
        <f>IFERROR(AVERAGE(월별지수!F23,월별지수!R23,월별지수!AD23)/키워드지표!$C23*100,"")</f>
        <v>97.23304681</v>
      </c>
    </row>
    <row r="24">
      <c r="A24" s="3" t="inlineStr">
        <is>
          <t>부산정형외과</t>
        </is>
      </c>
      <c r="B24" s="7">
        <f>IFERROR(AVERAGE(월별지수!G24,월별지수!S24,월별지수!AE24)/키워드지표!$C24*100,"")</f>
        <v>116.1562828</v>
      </c>
      <c r="C24" s="7">
        <f>IFERROR(AVERAGE(월별지수!H24,월별지수!T24,월별지수!AF24)/키워드지표!$C24*100,"")</f>
        <v>122.9965801</v>
      </c>
      <c r="D24" s="7">
        <f>IFERROR(AVERAGE(월별지수!I24,월별지수!U24,월별지수!AG24)/키워드지표!$C24*100,"")</f>
        <v>142.6159181</v>
      </c>
      <c r="E24" s="7">
        <f>IFERROR(AVERAGE(월별지수!J24,월별지수!V24,월별지수!AH24)/키워드지표!$C24*100,"")</f>
        <v>123.5618293</v>
      </c>
      <c r="F24" s="7">
        <f>IFERROR(AVERAGE(월별지수!K24,월별지수!W24,월별지수!AI24)/키워드지표!$C24*100,"")</f>
        <v>94.74098931</v>
      </c>
      <c r="G24" s="7">
        <f>IFERROR(AVERAGE(월별지수!L24,월별지수!X24,월별지수!AJ24)/키워드지표!$C24*100,"")</f>
        <v>88.17972367</v>
      </c>
      <c r="H24" s="7">
        <f>IFERROR(AVERAGE(월별지수!M24,월별지수!Y24,월별지수!AK24)/키워드지표!$C24*100,"")</f>
        <v>83.37150114</v>
      </c>
      <c r="I24" s="7">
        <f>IFERROR(AVERAGE(월별지수!N24,월별지수!Z24,월별지수!AL24)/키워드지표!$C24*100,"")</f>
        <v>90.3262651</v>
      </c>
      <c r="J24" s="7">
        <f>IFERROR(AVERAGE(월별지수!C24,월별지수!O24,월별지수!AA24)/키워드지표!$C24*100,"")</f>
        <v>88.36576735</v>
      </c>
      <c r="K24" s="7">
        <f>IFERROR(AVERAGE(월별지수!D24,월별지수!P24,월별지수!AB24)/키워드지표!$C24*100,"")</f>
        <v>84.04406499</v>
      </c>
      <c r="L24" s="7">
        <f>IFERROR(AVERAGE(월별지수!E24,월별지수!Q24,월별지수!AC24)/키워드지표!$C24*100,"")</f>
        <v>68.06666818</v>
      </c>
      <c r="M24" s="7">
        <f>IFERROR(AVERAGE(월별지수!F24,월별지수!R24,월별지수!AD24)/키워드지표!$C24*100,"")</f>
        <v>97.57440999</v>
      </c>
    </row>
    <row r="25">
      <c r="A25" s="3" t="inlineStr">
        <is>
          <t>대구정형외과</t>
        </is>
      </c>
      <c r="B25" s="7">
        <f>IFERROR(AVERAGE(월별지수!G25,월별지수!S25,월별지수!AE25)/키워드지표!$C25*100,"")</f>
        <v>79.51174969</v>
      </c>
      <c r="C25" s="7">
        <f>IFERROR(AVERAGE(월별지수!H25,월별지수!T25,월별지수!AF25)/키워드지표!$C25*100,"")</f>
        <v>74.41085206</v>
      </c>
      <c r="D25" s="7">
        <f>IFERROR(AVERAGE(월별지수!I25,월별지수!U25,월별지수!AG25)/키워드지표!$C25*100,"")</f>
        <v>81.96936099</v>
      </c>
      <c r="E25" s="7">
        <f>IFERROR(AVERAGE(월별지수!J25,월별지수!V25,월별지수!AH25)/키워드지표!$C25*100,"")</f>
        <v>79.11853775</v>
      </c>
      <c r="F25" s="7">
        <f>IFERROR(AVERAGE(월별지수!K25,월별지수!W25,월별지수!AI25)/키워드지표!$C25*100,"")</f>
        <v>107.6977717</v>
      </c>
      <c r="G25" s="7">
        <f>IFERROR(AVERAGE(월별지수!L25,월별지수!X25,월별지수!AJ25)/키워드지표!$C25*100,"")</f>
        <v>148.0953637</v>
      </c>
      <c r="H25" s="7">
        <f>IFERROR(AVERAGE(월별지수!M25,월별지수!Y25,월별지수!AK25)/키워드지표!$C25*100,"")</f>
        <v>123.1752388</v>
      </c>
      <c r="I25" s="7">
        <f>IFERROR(AVERAGE(월별지수!N25,월별지수!Z25,월별지수!AL25)/키워드지표!$C25*100,"")</f>
        <v>108.3585868</v>
      </c>
      <c r="J25" s="7">
        <f>IFERROR(AVERAGE(월별지수!C25,월별지수!O25,월별지수!AA25)/키워드지표!$C25*100,"")</f>
        <v>119.4396607</v>
      </c>
      <c r="K25" s="7">
        <f>IFERROR(AVERAGE(월별지수!D25,월별지수!P25,월별지수!AB25)/키워드지표!$C25*100,"")</f>
        <v>113.295654</v>
      </c>
      <c r="L25" s="7">
        <f>IFERROR(AVERAGE(월별지수!E25,월별지수!Q25,월별지수!AC25)/키워드지표!$C25*100,"")</f>
        <v>81.21569111</v>
      </c>
      <c r="M25" s="7">
        <f>IFERROR(AVERAGE(월별지수!F25,월별지수!R25,월별지수!AD25)/키워드지표!$C25*100,"")</f>
        <v>83.71153266</v>
      </c>
    </row>
    <row r="26">
      <c r="A26" s="3" t="inlineStr">
        <is>
          <t>인천정형외과</t>
        </is>
      </c>
      <c r="B26" s="7">
        <f>IFERROR(AVERAGE(월별지수!G26,월별지수!S26,월별지수!AE26)/키워드지표!$C26*100,"")</f>
        <v>83.09463675</v>
      </c>
      <c r="C26" s="7">
        <f>IFERROR(AVERAGE(월별지수!H26,월별지수!T26,월별지수!AF26)/키워드지표!$C26*100,"")</f>
        <v>85.74913506</v>
      </c>
      <c r="D26" s="7">
        <f>IFERROR(AVERAGE(월별지수!I26,월별지수!U26,월별지수!AG26)/키워드지표!$C26*100,"")</f>
        <v>129.9452629</v>
      </c>
      <c r="E26" s="7">
        <f>IFERROR(AVERAGE(월별지수!J26,월별지수!V26,월별지수!AH26)/키워드지표!$C26*100,"")</f>
        <v>97.05907739</v>
      </c>
      <c r="F26" s="7">
        <f>IFERROR(AVERAGE(월별지수!K26,월별지수!W26,월별지수!AI26)/키워드지표!$C26*100,"")</f>
        <v>102.1071419</v>
      </c>
      <c r="G26" s="7">
        <f>IFERROR(AVERAGE(월별지수!L26,월별지수!X26,월별지수!AJ26)/키워드지표!$C26*100,"")</f>
        <v>104.4326596</v>
      </c>
      <c r="H26" s="7">
        <f>IFERROR(AVERAGE(월별지수!M26,월별지수!Y26,월별지수!AK26)/키워드지표!$C26*100,"")</f>
        <v>108.45978</v>
      </c>
      <c r="I26" s="7">
        <f>IFERROR(AVERAGE(월별지수!N26,월별지수!Z26,월별지수!AL26)/키워드지표!$C26*100,"")</f>
        <v>95.13058864</v>
      </c>
      <c r="J26" s="7">
        <f>IFERROR(AVERAGE(월별지수!C26,월별지수!O26,월별지수!AA26)/키워드지표!$C26*100,"")</f>
        <v>123.2296273</v>
      </c>
      <c r="K26" s="7">
        <f>IFERROR(AVERAGE(월별지수!D26,월별지수!P26,월별지수!AB26)/키워드지표!$C26*100,"")</f>
        <v>102.1184905</v>
      </c>
      <c r="L26" s="7">
        <f>IFERROR(AVERAGE(월별지수!E26,월별지수!Q26,월별지수!AC26)/키워드지표!$C26*100,"")</f>
        <v>82.44802427</v>
      </c>
      <c r="M26" s="7">
        <f>IFERROR(AVERAGE(월별지수!F26,월별지수!R26,월별지수!AD26)/키워드지표!$C26*100,"")</f>
        <v>86.22557566</v>
      </c>
    </row>
    <row r="27">
      <c r="A27" s="3" t="inlineStr">
        <is>
          <t>광주정형외과</t>
        </is>
      </c>
      <c r="B27" s="7">
        <f>IFERROR(AVERAGE(월별지수!G27,월별지수!S27,월별지수!AE27)/키워드지표!$C27*100,"")</f>
        <v>90.74133847</v>
      </c>
      <c r="C27" s="7">
        <f>IFERROR(AVERAGE(월별지수!H27,월별지수!T27,월별지수!AF27)/키워드지표!$C27*100,"")</f>
        <v>86.47780929</v>
      </c>
      <c r="D27" s="7">
        <f>IFERROR(AVERAGE(월별지수!I27,월별지수!U27,월별지수!AG27)/키워드지표!$C27*100,"")</f>
        <v>121.5793374</v>
      </c>
      <c r="E27" s="7">
        <f>IFERROR(AVERAGE(월별지수!J27,월별지수!V27,월별지수!AH27)/키워드지표!$C27*100,"")</f>
        <v>99.15379717</v>
      </c>
      <c r="F27" s="7">
        <f>IFERROR(AVERAGE(월별지수!K27,월별지수!W27,월별지수!AI27)/키워드지표!$C27*100,"")</f>
        <v>126.507611</v>
      </c>
      <c r="G27" s="7">
        <f>IFERROR(AVERAGE(월별지수!L27,월별지수!X27,월별지수!AJ27)/키워드지표!$C27*100,"")</f>
        <v>100.8882361</v>
      </c>
      <c r="H27" s="7">
        <f>IFERROR(AVERAGE(월별지수!M27,월별지수!Y27,월별지수!AK27)/키워드지표!$C27*100,"")</f>
        <v>94.57699572</v>
      </c>
      <c r="I27" s="7">
        <f>IFERROR(AVERAGE(월별지수!N27,월별지수!Z27,월별지수!AL27)/키워드지표!$C27*100,"")</f>
        <v>109.1555</v>
      </c>
      <c r="J27" s="7">
        <f>IFERROR(AVERAGE(월별지수!C27,월별지수!O27,월별지수!AA27)/키워드지표!$C27*100,"")</f>
        <v>101.1556646</v>
      </c>
      <c r="K27" s="7">
        <f>IFERROR(AVERAGE(월별지수!D27,월별지수!P27,월별지수!AB27)/키워드지표!$C27*100,"")</f>
        <v>99.26076271</v>
      </c>
      <c r="L27" s="7">
        <f>IFERROR(AVERAGE(월별지수!E27,월별지수!Q27,월별지수!AC27)/키워드지표!$C27*100,"")</f>
        <v>83.27634046</v>
      </c>
      <c r="M27" s="7">
        <f>IFERROR(AVERAGE(월별지수!F27,월별지수!R27,월별지수!AD27)/키워드지표!$C27*100,"")</f>
        <v>87.22660714</v>
      </c>
    </row>
    <row r="28">
      <c r="A28" s="3" t="inlineStr">
        <is>
          <t>대전정형외과</t>
        </is>
      </c>
      <c r="B28" s="7">
        <f>IFERROR(AVERAGE(월별지수!G28,월별지수!S28,월별지수!AE28)/키워드지표!$C28*100,"")</f>
        <v>87.44401152</v>
      </c>
      <c r="C28" s="7">
        <f>IFERROR(AVERAGE(월별지수!H28,월별지수!T28,월별지수!AF28)/키워드지표!$C28*100,"")</f>
        <v>79.91111734</v>
      </c>
      <c r="D28" s="7">
        <f>IFERROR(AVERAGE(월별지수!I28,월별지수!U28,월별지수!AG28)/키워드지표!$C28*100,"")</f>
        <v>100.9249111</v>
      </c>
      <c r="E28" s="7">
        <f>IFERROR(AVERAGE(월별지수!J28,월별지수!V28,월별지수!AH28)/키워드지표!$C28*100,"")</f>
        <v>123.0434576</v>
      </c>
      <c r="F28" s="7">
        <f>IFERROR(AVERAGE(월별지수!K28,월별지수!W28,월별지수!AI28)/키워드지표!$C28*100,"")</f>
        <v>105.3346374</v>
      </c>
      <c r="G28" s="7">
        <f>IFERROR(AVERAGE(월별지수!L28,월별지수!X28,월별지수!AJ28)/키워드지표!$C28*100,"")</f>
        <v>93.77891534</v>
      </c>
      <c r="H28" s="7">
        <f>IFERROR(AVERAGE(월별지수!M28,월별지수!Y28,월별지수!AK28)/키워드지표!$C28*100,"")</f>
        <v>89.11281112</v>
      </c>
      <c r="I28" s="7">
        <f>IFERROR(AVERAGE(월별지수!N28,월별지수!Z28,월별지수!AL28)/키워드지표!$C28*100,"")</f>
        <v>107.371682</v>
      </c>
      <c r="J28" s="7">
        <f>IFERROR(AVERAGE(월별지수!C28,월별지수!O28,월별지수!AA28)/키워드지표!$C28*100,"")</f>
        <v>108.1687898</v>
      </c>
      <c r="K28" s="7">
        <f>IFERROR(AVERAGE(월별지수!D28,월별지수!P28,월별지수!AB28)/키워드지표!$C28*100,"")</f>
        <v>97.84369567</v>
      </c>
      <c r="L28" s="7">
        <f>IFERROR(AVERAGE(월별지수!E28,월별지수!Q28,월별지수!AC28)/키워드지표!$C28*100,"")</f>
        <v>98.22126738</v>
      </c>
      <c r="M28" s="7">
        <f>IFERROR(AVERAGE(월별지수!F28,월별지수!R28,월별지수!AD28)/키워드지표!$C28*100,"")</f>
        <v>108.8447037</v>
      </c>
    </row>
    <row r="29">
      <c r="A29" s="3" t="inlineStr">
        <is>
          <t>울산정형외과</t>
        </is>
      </c>
      <c r="B29" s="7">
        <f>IFERROR(AVERAGE(월별지수!G29,월별지수!S29,월별지수!AE29)/키워드지표!$C29*100,"")</f>
        <v>106.0817589</v>
      </c>
      <c r="C29" s="7">
        <f>IFERROR(AVERAGE(월별지수!H29,월별지수!T29,월별지수!AF29)/키워드지표!$C29*100,"")</f>
        <v>99.63855876</v>
      </c>
      <c r="D29" s="7">
        <f>IFERROR(AVERAGE(월별지수!I29,월별지수!U29,월별지수!AG29)/키워드지표!$C29*100,"")</f>
        <v>116.5725047</v>
      </c>
      <c r="E29" s="7">
        <f>IFERROR(AVERAGE(월별지수!J29,월별지수!V29,월별지수!AH29)/키워드지표!$C29*100,"")</f>
        <v>94.65154643</v>
      </c>
      <c r="F29" s="7">
        <f>IFERROR(AVERAGE(월별지수!K29,월별지수!W29,월별지수!AI29)/키워드지표!$C29*100,"")</f>
        <v>108.4852355</v>
      </c>
      <c r="G29" s="7">
        <f>IFERROR(AVERAGE(월별지수!L29,월별지수!X29,월별지수!AJ29)/키워드지표!$C29*100,"")</f>
        <v>100.5623811</v>
      </c>
      <c r="H29" s="7">
        <f>IFERROR(AVERAGE(월별지수!M29,월별지수!Y29,월별지수!AK29)/키워드지표!$C29*100,"")</f>
        <v>91.23031184</v>
      </c>
      <c r="I29" s="7">
        <f>IFERROR(AVERAGE(월별지수!N29,월별지수!Z29,월별지수!AL29)/키워드지표!$C29*100,"")</f>
        <v>94.61239573</v>
      </c>
      <c r="J29" s="7">
        <f>IFERROR(AVERAGE(월별지수!C29,월별지수!O29,월별지수!AA29)/키워드지표!$C29*100,"")</f>
        <v>98.8556749</v>
      </c>
      <c r="K29" s="7">
        <f>IFERROR(AVERAGE(월별지수!D29,월별지수!P29,월별지수!AB29)/키워드지표!$C29*100,"")</f>
        <v>105.4632799</v>
      </c>
      <c r="L29" s="7">
        <f>IFERROR(AVERAGE(월별지수!E29,월별지수!Q29,월별지수!AC29)/키워드지표!$C29*100,"")</f>
        <v>84.63837109</v>
      </c>
      <c r="M29" s="7">
        <f>IFERROR(AVERAGE(월별지수!F29,월별지수!R29,월별지수!AD29)/키워드지표!$C29*100,"")</f>
        <v>99.20798115</v>
      </c>
    </row>
    <row r="30">
      <c r="A30" s="3" t="inlineStr">
        <is>
          <t>서울안과</t>
        </is>
      </c>
      <c r="B30" s="7">
        <f>IFERROR(AVERAGE(월별지수!G30,월별지수!S30,월별지수!AE30)/키워드지표!$C30*100,"")</f>
        <v>97.704613</v>
      </c>
      <c r="C30" s="7">
        <f>IFERROR(AVERAGE(월별지수!H30,월별지수!T30,월별지수!AF30)/키워드지표!$C30*100,"")</f>
        <v>99.09835646</v>
      </c>
      <c r="D30" s="7">
        <f>IFERROR(AVERAGE(월별지수!I30,월별지수!U30,월별지수!AG30)/키워드지표!$C30*100,"")</f>
        <v>97.54864539</v>
      </c>
      <c r="E30" s="7">
        <f>IFERROR(AVERAGE(월별지수!J30,월별지수!V30,월별지수!AH30)/키워드지표!$C30*100,"")</f>
        <v>104.8525168</v>
      </c>
      <c r="F30" s="7">
        <f>IFERROR(AVERAGE(월별지수!K30,월별지수!W30,월별지수!AI30)/키워드지표!$C30*100,"")</f>
        <v>106.0405169</v>
      </c>
      <c r="G30" s="7">
        <f>IFERROR(AVERAGE(월별지수!L30,월별지수!X30,월별지수!AJ30)/키워드지표!$C30*100,"")</f>
        <v>98.14596785</v>
      </c>
      <c r="H30" s="7">
        <f>IFERROR(AVERAGE(월별지수!M30,월별지수!Y30,월별지수!AK30)/키워드지표!$C30*100,"")</f>
        <v>108.7417196</v>
      </c>
      <c r="I30" s="7">
        <f>IFERROR(AVERAGE(월별지수!N30,월별지수!Z30,월별지수!AL30)/키워드지표!$C30*100,"")</f>
        <v>117.1108073</v>
      </c>
      <c r="J30" s="7">
        <f>IFERROR(AVERAGE(월별지수!C30,월별지수!O30,월별지수!AA30)/키워드지표!$C30*100,"")</f>
        <v>100.643085</v>
      </c>
      <c r="K30" s="7">
        <f>IFERROR(AVERAGE(월별지수!D30,월별지수!P30,월별지수!AB30)/키워드지표!$C30*100,"")</f>
        <v>98.28201443</v>
      </c>
      <c r="L30" s="7">
        <f>IFERROR(AVERAGE(월별지수!E30,월별지수!Q30,월별지수!AC30)/키워드지표!$C30*100,"")</f>
        <v>83.31422752</v>
      </c>
      <c r="M30" s="7">
        <f>IFERROR(AVERAGE(월별지수!F30,월별지수!R30,월별지수!AD30)/키워드지표!$C30*100,"")</f>
        <v>88.51752988</v>
      </c>
    </row>
    <row r="31">
      <c r="A31" s="3" t="inlineStr">
        <is>
          <t>부산안과</t>
        </is>
      </c>
      <c r="B31" s="7">
        <f>IFERROR(AVERAGE(월별지수!G31,월별지수!S31,월별지수!AE31)/키워드지표!$C31*100,"")</f>
        <v>85.85512189</v>
      </c>
      <c r="C31" s="7">
        <f>IFERROR(AVERAGE(월별지수!H31,월별지수!T31,월별지수!AF31)/키워드지표!$C31*100,"")</f>
        <v>96.15362983</v>
      </c>
      <c r="D31" s="7">
        <f>IFERROR(AVERAGE(월별지수!I31,월별지수!U31,월별지수!AG31)/키워드지표!$C31*100,"")</f>
        <v>118.465858</v>
      </c>
      <c r="E31" s="7">
        <f>IFERROR(AVERAGE(월별지수!J31,월별지수!V31,월별지수!AH31)/키워드지표!$C31*100,"")</f>
        <v>88.55252406</v>
      </c>
      <c r="F31" s="7">
        <f>IFERROR(AVERAGE(월별지수!K31,월별지수!W31,월별지수!AI31)/키워드지표!$C31*100,"")</f>
        <v>127.9800678</v>
      </c>
      <c r="G31" s="7">
        <f>IFERROR(AVERAGE(월별지수!L31,월별지수!X31,월별지수!AJ31)/키워드지표!$C31*100,"")</f>
        <v>138.6304219</v>
      </c>
      <c r="H31" s="7">
        <f>IFERROR(AVERAGE(월별지수!M31,월별지수!Y31,월별지수!AK31)/키워드지표!$C31*100,"")</f>
        <v>145.5571772</v>
      </c>
      <c r="I31" s="7">
        <f>IFERROR(AVERAGE(월별지수!N31,월별지수!Z31,월별지수!AL31)/키워드지표!$C31*100,"")</f>
        <v>107.7935121</v>
      </c>
      <c r="J31" s="7">
        <f>IFERROR(AVERAGE(월별지수!C31,월별지수!O31,월별지수!AA31)/키워드지표!$C31*100,"")</f>
        <v>83.71478436</v>
      </c>
      <c r="K31" s="7">
        <f>IFERROR(AVERAGE(월별지수!D31,월별지수!P31,월별지수!AB31)/키워드지표!$C31*100,"")</f>
        <v>83.83205869</v>
      </c>
      <c r="L31" s="7">
        <f>IFERROR(AVERAGE(월별지수!E31,월별지수!Q31,월별지수!AC31)/키워드지표!$C31*100,"")</f>
        <v>60.20047116</v>
      </c>
      <c r="M31" s="7">
        <f>IFERROR(AVERAGE(월별지수!F31,월별지수!R31,월별지수!AD31)/키워드지표!$C31*100,"")</f>
        <v>63.26437297</v>
      </c>
    </row>
    <row r="32">
      <c r="A32" s="3" t="inlineStr">
        <is>
          <t>대구안과</t>
        </is>
      </c>
      <c r="B32" s="7">
        <f>IFERROR(AVERAGE(월별지수!G32,월별지수!S32,월별지수!AE32)/키워드지표!$C32*100,"")</f>
        <v>101.3240074</v>
      </c>
      <c r="C32" s="7">
        <f>IFERROR(AVERAGE(월별지수!H32,월별지수!T32,월별지수!AF32)/키워드지표!$C32*100,"")</f>
        <v>95.78886696</v>
      </c>
      <c r="D32" s="7">
        <f>IFERROR(AVERAGE(월별지수!I32,월별지수!U32,월별지수!AG32)/키워드지표!$C32*100,"")</f>
        <v>100.4621521</v>
      </c>
      <c r="E32" s="7">
        <f>IFERROR(AVERAGE(월별지수!J32,월별지수!V32,월별지수!AH32)/키워드지표!$C32*100,"")</f>
        <v>96.30812556</v>
      </c>
      <c r="F32" s="7">
        <f>IFERROR(AVERAGE(월별지수!K32,월별지수!W32,월별지수!AI32)/키워드지표!$C32*100,"")</f>
        <v>101.7361987</v>
      </c>
      <c r="G32" s="7">
        <f>IFERROR(AVERAGE(월별지수!L32,월별지수!X32,월별지수!AJ32)/키워드지표!$C32*100,"")</f>
        <v>98.47079858</v>
      </c>
      <c r="H32" s="7">
        <f>IFERROR(AVERAGE(월별지수!M32,월별지수!Y32,월별지수!AK32)/키워드지표!$C32*100,"")</f>
        <v>107.3730388</v>
      </c>
      <c r="I32" s="7">
        <f>IFERROR(AVERAGE(월별지수!N32,월별지수!Z32,월별지수!AL32)/키워드지표!$C32*100,"")</f>
        <v>108.9147452</v>
      </c>
      <c r="J32" s="7">
        <f>IFERROR(AVERAGE(월별지수!C32,월별지수!O32,월별지수!AA32)/키워드지표!$C32*100,"")</f>
        <v>100.6441564</v>
      </c>
      <c r="K32" s="7">
        <f>IFERROR(AVERAGE(월별지수!D32,월별지수!P32,월별지수!AB32)/키워드지표!$C32*100,"")</f>
        <v>108.7648544</v>
      </c>
      <c r="L32" s="7">
        <f>IFERROR(AVERAGE(월별지수!E32,월별지수!Q32,월별지수!AC32)/키워드지표!$C32*100,"")</f>
        <v>88.03754518</v>
      </c>
      <c r="M32" s="7">
        <f>IFERROR(AVERAGE(월별지수!F32,월별지수!R32,월별지수!AD32)/키워드지표!$C32*100,"")</f>
        <v>92.17551078</v>
      </c>
    </row>
    <row r="33">
      <c r="A33" s="3" t="inlineStr">
        <is>
          <t>인천안과</t>
        </is>
      </c>
      <c r="B33" s="7">
        <f>IFERROR(AVERAGE(월별지수!G33,월별지수!S33,월별지수!AE33)/키워드지표!$C33*100,"")</f>
        <v>90.90021671</v>
      </c>
      <c r="C33" s="7">
        <f>IFERROR(AVERAGE(월별지수!H33,월별지수!T33,월별지수!AF33)/키워드지표!$C33*100,"")</f>
        <v>91.76016434</v>
      </c>
      <c r="D33" s="7">
        <f>IFERROR(AVERAGE(월별지수!I33,월별지수!U33,월별지수!AG33)/키워드지표!$C33*100,"")</f>
        <v>106.2881121</v>
      </c>
      <c r="E33" s="7">
        <f>IFERROR(AVERAGE(월별지수!J33,월별지수!V33,월별지수!AH33)/키워드지표!$C33*100,"")</f>
        <v>85.37449061</v>
      </c>
      <c r="F33" s="7">
        <f>IFERROR(AVERAGE(월별지수!K33,월별지수!W33,월별지수!AI33)/키워드지표!$C33*100,"")</f>
        <v>100.1951778</v>
      </c>
      <c r="G33" s="7">
        <f>IFERROR(AVERAGE(월별지수!L33,월별지수!X33,월별지수!AJ33)/키워드지표!$C33*100,"")</f>
        <v>93.0958852</v>
      </c>
      <c r="H33" s="7">
        <f>IFERROR(AVERAGE(월별지수!M33,월별지수!Y33,월별지수!AK33)/키워드지표!$C33*100,"")</f>
        <v>183.2825103</v>
      </c>
      <c r="I33" s="7">
        <f>IFERROR(AVERAGE(월별지수!N33,월별지수!Z33,월별지수!AL33)/키워드지표!$C33*100,"")</f>
        <v>106.3430332</v>
      </c>
      <c r="J33" s="7">
        <f>IFERROR(AVERAGE(월별지수!C33,월별지수!O33,월별지수!AA33)/키워드지표!$C33*100,"")</f>
        <v>93.29713501</v>
      </c>
      <c r="K33" s="7">
        <f>IFERROR(AVERAGE(월별지수!D33,월별지수!P33,월별지수!AB33)/키워드지표!$C33*100,"")</f>
        <v>93.55330589</v>
      </c>
      <c r="L33" s="7">
        <f>IFERROR(AVERAGE(월별지수!E33,월별지수!Q33,월별지수!AC33)/키워드지표!$C33*100,"")</f>
        <v>74.26809002</v>
      </c>
      <c r="M33" s="7">
        <f>IFERROR(AVERAGE(월별지수!F33,월별지수!R33,월별지수!AD33)/키워드지표!$C33*100,"")</f>
        <v>81.64187875</v>
      </c>
    </row>
    <row r="34">
      <c r="A34" s="3" t="inlineStr">
        <is>
          <t>광주안과</t>
        </is>
      </c>
      <c r="B34" s="7">
        <f>IFERROR(AVERAGE(월별지수!G34,월별지수!S34,월별지수!AE34)/키워드지표!$C34*100,"")</f>
        <v>118.8272514</v>
      </c>
      <c r="C34" s="7">
        <f>IFERROR(AVERAGE(월별지수!H34,월별지수!T34,월별지수!AF34)/키워드지표!$C34*100,"")</f>
        <v>107.9512783</v>
      </c>
      <c r="D34" s="7">
        <f>IFERROR(AVERAGE(월별지수!I34,월별지수!U34,월별지수!AG34)/키워드지표!$C34*100,"")</f>
        <v>101.5404961</v>
      </c>
      <c r="E34" s="7">
        <f>IFERROR(AVERAGE(월별지수!J34,월별지수!V34,월별지수!AH34)/키워드지표!$C34*100,"")</f>
        <v>96.34234144</v>
      </c>
      <c r="F34" s="7">
        <f>IFERROR(AVERAGE(월별지수!K34,월별지수!W34,월별지수!AI34)/키워드지표!$C34*100,"")</f>
        <v>97.39867563</v>
      </c>
      <c r="G34" s="7">
        <f>IFERROR(AVERAGE(월별지수!L34,월별지수!X34,월별지수!AJ34)/키워드지표!$C34*100,"")</f>
        <v>93.53172619</v>
      </c>
      <c r="H34" s="7">
        <f>IFERROR(AVERAGE(월별지수!M34,월별지수!Y34,월별지수!AK34)/키워드지표!$C34*100,"")</f>
        <v>100.5057127</v>
      </c>
      <c r="I34" s="7">
        <f>IFERROR(AVERAGE(월별지수!N34,월별지수!Z34,월별지수!AL34)/키워드지표!$C34*100,"")</f>
        <v>106.970392</v>
      </c>
      <c r="J34" s="7">
        <f>IFERROR(AVERAGE(월별지수!C34,월별지수!O34,월별지수!AA34)/키워드지표!$C34*100,"")</f>
        <v>91.08220518</v>
      </c>
      <c r="K34" s="7">
        <f>IFERROR(AVERAGE(월별지수!D34,월별지수!P34,월별지수!AB34)/키워드지표!$C34*100,"")</f>
        <v>95.38840363</v>
      </c>
      <c r="L34" s="7">
        <f>IFERROR(AVERAGE(월별지수!E34,월별지수!Q34,월별지수!AC34)/키워드지표!$C34*100,"")</f>
        <v>88.95336366</v>
      </c>
      <c r="M34" s="7">
        <f>IFERROR(AVERAGE(월별지수!F34,월별지수!R34,월별지수!AD34)/키워드지표!$C34*100,"")</f>
        <v>101.5081538</v>
      </c>
    </row>
    <row r="35">
      <c r="A35" s="3" t="inlineStr">
        <is>
          <t>대전안과</t>
        </is>
      </c>
      <c r="B35" s="7">
        <f>IFERROR(AVERAGE(월별지수!G35,월별지수!S35,월별지수!AE35)/키워드지표!$C35*100,"")</f>
        <v>98.48045672</v>
      </c>
      <c r="C35" s="7">
        <f>IFERROR(AVERAGE(월별지수!H35,월별지수!T35,월별지수!AF35)/키워드지표!$C35*100,"")</f>
        <v>91.36013888</v>
      </c>
      <c r="D35" s="7">
        <f>IFERROR(AVERAGE(월별지수!I35,월별지수!U35,월별지수!AG35)/키워드지표!$C35*100,"")</f>
        <v>105.6590341</v>
      </c>
      <c r="E35" s="7">
        <f>IFERROR(AVERAGE(월별지수!J35,월별지수!V35,월별지수!AH35)/키워드지표!$C35*100,"")</f>
        <v>99.21191899</v>
      </c>
      <c r="F35" s="7">
        <f>IFERROR(AVERAGE(월별지수!K35,월별지수!W35,월별지수!AI35)/키워드지표!$C35*100,"")</f>
        <v>107.6203633</v>
      </c>
      <c r="G35" s="7">
        <f>IFERROR(AVERAGE(월별지수!L35,월별지수!X35,월별지수!AJ35)/키워드지표!$C35*100,"")</f>
        <v>95.78768464</v>
      </c>
      <c r="H35" s="7">
        <f>IFERROR(AVERAGE(월별지수!M35,월별지수!Y35,월별지수!AK35)/키워드지표!$C35*100,"")</f>
        <v>98.28626772</v>
      </c>
      <c r="I35" s="7">
        <f>IFERROR(AVERAGE(월별지수!N35,월별지수!Z35,월별지수!AL35)/키워드지표!$C35*100,"")</f>
        <v>102.0665136</v>
      </c>
      <c r="J35" s="7">
        <f>IFERROR(AVERAGE(월별지수!C35,월별지수!O35,월별지수!AA35)/키워드지표!$C35*100,"")</f>
        <v>109.4004403</v>
      </c>
      <c r="K35" s="7">
        <f>IFERROR(AVERAGE(월별지수!D35,월별지수!P35,월별지수!AB35)/키워드지표!$C35*100,"")</f>
        <v>110.9604352</v>
      </c>
      <c r="L35" s="7">
        <f>IFERROR(AVERAGE(월별지수!E35,월별지수!Q35,월별지수!AC35)/키워드지표!$C35*100,"")</f>
        <v>81.18455447</v>
      </c>
      <c r="M35" s="7">
        <f>IFERROR(AVERAGE(월별지수!F35,월별지수!R35,월별지수!AD35)/키워드지표!$C35*100,"")</f>
        <v>99.98219202</v>
      </c>
    </row>
    <row r="36">
      <c r="A36" s="3" t="inlineStr">
        <is>
          <t>울산안과</t>
        </is>
      </c>
      <c r="B36" s="7">
        <f>IFERROR(AVERAGE(월별지수!G36,월별지수!S36,월별지수!AE36)/키워드지표!$C36*100,"")</f>
        <v>108.3722437</v>
      </c>
      <c r="C36" s="7">
        <f>IFERROR(AVERAGE(월별지수!H36,월별지수!T36,월별지수!AF36)/키워드지표!$C36*100,"")</f>
        <v>115.1896385</v>
      </c>
      <c r="D36" s="7">
        <f>IFERROR(AVERAGE(월별지수!I36,월별지수!U36,월별지수!AG36)/키워드지표!$C36*100,"")</f>
        <v>115.3142</v>
      </c>
      <c r="E36" s="7">
        <f>IFERROR(AVERAGE(월별지수!J36,월별지수!V36,월별지수!AH36)/키워드지표!$C36*100,"")</f>
        <v>109.7257751</v>
      </c>
      <c r="F36" s="7">
        <f>IFERROR(AVERAGE(월별지수!K36,월별지수!W36,월별지수!AI36)/키워드지표!$C36*100,"")</f>
        <v>105.864529</v>
      </c>
      <c r="G36" s="7">
        <f>IFERROR(AVERAGE(월별지수!L36,월별지수!X36,월별지수!AJ36)/키워드지표!$C36*100,"")</f>
        <v>104.037701</v>
      </c>
      <c r="H36" s="7">
        <f>IFERROR(AVERAGE(월별지수!M36,월별지수!Y36,월별지수!AK36)/키워드지표!$C36*100,"")</f>
        <v>85.6448845</v>
      </c>
      <c r="I36" s="7">
        <f>IFERROR(AVERAGE(월별지수!N36,월별지수!Z36,월별지수!AL36)/키워드지표!$C36*100,"")</f>
        <v>86.03516487</v>
      </c>
      <c r="J36" s="7">
        <f>IFERROR(AVERAGE(월별지수!C36,월별지수!O36,월별지수!AA36)/키워드지표!$C36*100,"")</f>
        <v>85.05533047</v>
      </c>
      <c r="K36" s="7">
        <f>IFERROR(AVERAGE(월별지수!D36,월별지수!P36,월별지수!AB36)/키워드지표!$C36*100,"")</f>
        <v>89.90471508</v>
      </c>
      <c r="L36" s="7">
        <f>IFERROR(AVERAGE(월별지수!E36,월별지수!Q36,월별지수!AC36)/키워드지표!$C36*100,"")</f>
        <v>98.1088204</v>
      </c>
      <c r="M36" s="7">
        <f>IFERROR(AVERAGE(월별지수!F36,월별지수!R36,월별지수!AD36)/키워드지표!$C36*100,"")</f>
        <v>96.74699732</v>
      </c>
    </row>
    <row r="37">
      <c r="A37" s="3" t="inlineStr">
        <is>
          <t>서울내과</t>
        </is>
      </c>
      <c r="B37" s="7">
        <f>IFERROR(AVERAGE(월별지수!G37,월별지수!S37,월별지수!AE37)/키워드지표!$C37*100,"")</f>
        <v>109.5084446</v>
      </c>
      <c r="C37" s="7">
        <f>IFERROR(AVERAGE(월별지수!H37,월별지수!T37,월별지수!AF37)/키워드지표!$C37*100,"")</f>
        <v>90.64294288</v>
      </c>
      <c r="D37" s="7">
        <f>IFERROR(AVERAGE(월별지수!I37,월별지수!U37,월별지수!AG37)/키워드지표!$C37*100,"")</f>
        <v>93.00928346</v>
      </c>
      <c r="E37" s="7">
        <f>IFERROR(AVERAGE(월별지수!J37,월별지수!V37,월별지수!AH37)/키워드지표!$C37*100,"")</f>
        <v>86.79064736</v>
      </c>
      <c r="F37" s="7">
        <f>IFERROR(AVERAGE(월별지수!K37,월별지수!W37,월별지수!AI37)/키워드지표!$C37*100,"")</f>
        <v>89.64143488</v>
      </c>
      <c r="G37" s="7">
        <f>IFERROR(AVERAGE(월별지수!L37,월별지수!X37,월별지수!AJ37)/키워드지표!$C37*100,"")</f>
        <v>83.12468657</v>
      </c>
      <c r="H37" s="7">
        <f>IFERROR(AVERAGE(월별지수!M37,월별지수!Y37,월별지수!AK37)/키워드지표!$C37*100,"")</f>
        <v>90.91777518</v>
      </c>
      <c r="I37" s="7">
        <f>IFERROR(AVERAGE(월별지수!N37,월별지수!Z37,월별지수!AL37)/키워드지표!$C37*100,"")</f>
        <v>101.4358751</v>
      </c>
      <c r="J37" s="7">
        <f>IFERROR(AVERAGE(월별지수!C37,월별지수!O37,월별지수!AA37)/키워드지표!$C37*100,"")</f>
        <v>98.42670786</v>
      </c>
      <c r="K37" s="7">
        <f>IFERROR(AVERAGE(월별지수!D37,월별지수!P37,월별지수!AB37)/키워드지표!$C37*100,"")</f>
        <v>120.4131808</v>
      </c>
      <c r="L37" s="7">
        <f>IFERROR(AVERAGE(월별지수!E37,월별지수!Q37,월별지수!AC37)/키워드지표!$C37*100,"")</f>
        <v>111.9679525</v>
      </c>
      <c r="M37" s="7">
        <f>IFERROR(AVERAGE(월별지수!F37,월별지수!R37,월별지수!AD37)/키워드지표!$C37*100,"")</f>
        <v>124.1210688</v>
      </c>
    </row>
    <row r="38">
      <c r="A38" s="3" t="inlineStr">
        <is>
          <t>부산내과</t>
        </is>
      </c>
      <c r="B38" s="7">
        <f>IFERROR(AVERAGE(월별지수!G38,월별지수!S38,월별지수!AE38)/키워드지표!$C38*100,"")</f>
        <v>117.2319867</v>
      </c>
      <c r="C38" s="7">
        <f>IFERROR(AVERAGE(월별지수!H38,월별지수!T38,월별지수!AF38)/키워드지표!$C38*100,"")</f>
        <v>109.3207343</v>
      </c>
      <c r="D38" s="7">
        <f>IFERROR(AVERAGE(월별지수!I38,월별지수!U38,월별지수!AG38)/키워드지표!$C38*100,"")</f>
        <v>96.15349753</v>
      </c>
      <c r="E38" s="7">
        <f>IFERROR(AVERAGE(월별지수!J38,월별지수!V38,월별지수!AH38)/키워드지표!$C38*100,"")</f>
        <v>89.09702346</v>
      </c>
      <c r="F38" s="7">
        <f>IFERROR(AVERAGE(월별지수!K38,월별지수!W38,월별지수!AI38)/키워드지표!$C38*100,"")</f>
        <v>102.664353</v>
      </c>
      <c r="G38" s="7">
        <f>IFERROR(AVERAGE(월별지수!L38,월별지수!X38,월별지수!AJ38)/키워드지표!$C38*100,"")</f>
        <v>81.73136897</v>
      </c>
      <c r="H38" s="7">
        <f>IFERROR(AVERAGE(월별지수!M38,월별지수!Y38,월별지수!AK38)/키워드지표!$C38*100,"")</f>
        <v>86.13257507</v>
      </c>
      <c r="I38" s="7">
        <f>IFERROR(AVERAGE(월별지수!N38,월별지수!Z38,월별지수!AL38)/키워드지표!$C38*100,"")</f>
        <v>95.75338411</v>
      </c>
      <c r="J38" s="7">
        <f>IFERROR(AVERAGE(월별지수!C38,월별지수!O38,월별지수!AA38)/키워드지표!$C38*100,"")</f>
        <v>99.24523967</v>
      </c>
      <c r="K38" s="7">
        <f>IFERROR(AVERAGE(월별지수!D38,월별지수!P38,월별지수!AB38)/키워드지표!$C38*100,"")</f>
        <v>114.1402239</v>
      </c>
      <c r="L38" s="7">
        <f>IFERROR(AVERAGE(월별지수!E38,월별지수!Q38,월별지수!AC38)/키워드지표!$C38*100,"")</f>
        <v>92.17059558</v>
      </c>
      <c r="M38" s="7">
        <f>IFERROR(AVERAGE(월별지수!F38,월별지수!R38,월별지수!AD38)/키워드지표!$C38*100,"")</f>
        <v>116.3590177</v>
      </c>
    </row>
    <row r="39">
      <c r="A39" s="3" t="inlineStr">
        <is>
          <t>대구내과</t>
        </is>
      </c>
      <c r="B39" s="7">
        <f>IFERROR(AVERAGE(월별지수!G39,월별지수!S39,월별지수!AE39)/키워드지표!$C39*100,"")</f>
        <v>122.4822877</v>
      </c>
      <c r="C39" s="7">
        <f>IFERROR(AVERAGE(월별지수!H39,월별지수!T39,월별지수!AF39)/키워드지표!$C39*100,"")</f>
        <v>112.6121971</v>
      </c>
      <c r="D39" s="7">
        <f>IFERROR(AVERAGE(월별지수!I39,월별지수!U39,월별지수!AG39)/키워드지표!$C39*100,"")</f>
        <v>94.36420994</v>
      </c>
      <c r="E39" s="7">
        <f>IFERROR(AVERAGE(월별지수!J39,월별지수!V39,월별지수!AH39)/키워드지표!$C39*100,"")</f>
        <v>82.25587248</v>
      </c>
      <c r="F39" s="7">
        <f>IFERROR(AVERAGE(월별지수!K39,월별지수!W39,월별지수!AI39)/키워드지표!$C39*100,"")</f>
        <v>96.55583401</v>
      </c>
      <c r="G39" s="7">
        <f>IFERROR(AVERAGE(월별지수!L39,월별지수!X39,월별지수!AJ39)/키워드지표!$C39*100,"")</f>
        <v>83.49933508</v>
      </c>
      <c r="H39" s="7">
        <f>IFERROR(AVERAGE(월별지수!M39,월별지수!Y39,월별지수!AK39)/키워드지표!$C39*100,"")</f>
        <v>78.12132038</v>
      </c>
      <c r="I39" s="7">
        <f>IFERROR(AVERAGE(월별지수!N39,월별지수!Z39,월별지수!AL39)/키워드지표!$C39*100,"")</f>
        <v>93.1673701</v>
      </c>
      <c r="J39" s="7">
        <f>IFERROR(AVERAGE(월별지수!C39,월별지수!O39,월별지수!AA39)/키워드지표!$C39*100,"")</f>
        <v>98.87181498</v>
      </c>
      <c r="K39" s="7">
        <f>IFERROR(AVERAGE(월별지수!D39,월별지수!P39,월별지수!AB39)/키워드지표!$C39*100,"")</f>
        <v>121.4253339</v>
      </c>
      <c r="L39" s="7">
        <f>IFERROR(AVERAGE(월별지수!E39,월별지수!Q39,월별지수!AC39)/키워드지표!$C39*100,"")</f>
        <v>94.93931847</v>
      </c>
      <c r="M39" s="7">
        <f>IFERROR(AVERAGE(월별지수!F39,월별지수!R39,월별지수!AD39)/키워드지표!$C39*100,"")</f>
        <v>121.7051059</v>
      </c>
    </row>
    <row r="40">
      <c r="A40" s="3" t="inlineStr">
        <is>
          <t>인천내과</t>
        </is>
      </c>
      <c r="B40" s="7">
        <f>IFERROR(AVERAGE(월별지수!G40,월별지수!S40,월별지수!AE40)/키워드지표!$C40*100,"")</f>
        <v>125.4974175</v>
      </c>
      <c r="C40" s="7">
        <f>IFERROR(AVERAGE(월별지수!H40,월별지수!T40,월별지수!AF40)/키워드지표!$C40*100,"")</f>
        <v>102.9422798</v>
      </c>
      <c r="D40" s="7">
        <f>IFERROR(AVERAGE(월별지수!I40,월별지수!U40,월별지수!AG40)/키워드지표!$C40*100,"")</f>
        <v>88.80695153</v>
      </c>
      <c r="E40" s="7">
        <f>IFERROR(AVERAGE(월별지수!J40,월별지수!V40,월별지수!AH40)/키워드지표!$C40*100,"")</f>
        <v>84.41268482</v>
      </c>
      <c r="F40" s="7">
        <f>IFERROR(AVERAGE(월별지수!K40,월별지수!W40,월별지수!AI40)/키워드지표!$C40*100,"")</f>
        <v>101.0678193</v>
      </c>
      <c r="G40" s="7">
        <f>IFERROR(AVERAGE(월별지수!L40,월별지수!X40,월별지수!AJ40)/키워드지표!$C40*100,"")</f>
        <v>75.53201417</v>
      </c>
      <c r="H40" s="7">
        <f>IFERROR(AVERAGE(월별지수!M40,월별지수!Y40,월별지수!AK40)/키워드지표!$C40*100,"")</f>
        <v>80.07988961</v>
      </c>
      <c r="I40" s="7">
        <f>IFERROR(AVERAGE(월별지수!N40,월별지수!Z40,월별지수!AL40)/키워드지표!$C40*100,"")</f>
        <v>86.84028377</v>
      </c>
      <c r="J40" s="7">
        <f>IFERROR(AVERAGE(월별지수!C40,월별지수!O40,월별지수!AA40)/키워드지표!$C40*100,"")</f>
        <v>117.0162415</v>
      </c>
      <c r="K40" s="7">
        <f>IFERROR(AVERAGE(월별지수!D40,월별지수!P40,월별지수!AB40)/키워드지표!$C40*100,"")</f>
        <v>115.6026772</v>
      </c>
      <c r="L40" s="7">
        <f>IFERROR(AVERAGE(월별지수!E40,월별지수!Q40,월별지수!AC40)/키워드지표!$C40*100,"")</f>
        <v>99.34700248</v>
      </c>
      <c r="M40" s="7">
        <f>IFERROR(AVERAGE(월별지수!F40,월별지수!R40,월별지수!AD40)/키워드지표!$C40*100,"")</f>
        <v>122.8547383</v>
      </c>
    </row>
    <row r="41">
      <c r="A41" s="3" t="inlineStr">
        <is>
          <t>광주내과</t>
        </is>
      </c>
      <c r="B41" s="7">
        <f>IFERROR(AVERAGE(월별지수!G41,월별지수!S41,월별지수!AE41)/키워드지표!$C41*100,"")</f>
        <v>116.0565941</v>
      </c>
      <c r="C41" s="7">
        <f>IFERROR(AVERAGE(월별지수!H41,월별지수!T41,월별지수!AF41)/키워드지표!$C41*100,"")</f>
        <v>101.2117003</v>
      </c>
      <c r="D41" s="7">
        <f>IFERROR(AVERAGE(월별지수!I41,월별지수!U41,월별지수!AG41)/키워드지표!$C41*100,"")</f>
        <v>95.54016952</v>
      </c>
      <c r="E41" s="7">
        <f>IFERROR(AVERAGE(월별지수!J41,월별지수!V41,월별지수!AH41)/키워드지표!$C41*100,"")</f>
        <v>93.25634137</v>
      </c>
      <c r="F41" s="7">
        <f>IFERROR(AVERAGE(월별지수!K41,월별지수!W41,월별지수!AI41)/키워드지표!$C41*100,"")</f>
        <v>103.3052112</v>
      </c>
      <c r="G41" s="7">
        <f>IFERROR(AVERAGE(월별지수!L41,월별지수!X41,월별지수!AJ41)/키워드지표!$C41*100,"")</f>
        <v>87.77517116</v>
      </c>
      <c r="H41" s="7">
        <f>IFERROR(AVERAGE(월별지수!M41,월별지수!Y41,월별지수!AK41)/키워드지표!$C41*100,"")</f>
        <v>86.19552535</v>
      </c>
      <c r="I41" s="7">
        <f>IFERROR(AVERAGE(월별지수!N41,월별지수!Z41,월별지수!AL41)/키워드지표!$C41*100,"")</f>
        <v>100.7168712</v>
      </c>
      <c r="J41" s="7">
        <f>IFERROR(AVERAGE(월별지수!C41,월별지수!O41,월별지수!AA41)/키워드지표!$C41*100,"")</f>
        <v>100.8881524</v>
      </c>
      <c r="K41" s="7">
        <f>IFERROR(AVERAGE(월별지수!D41,월별지수!P41,월별지수!AB41)/키워드지표!$C41*100,"")</f>
        <v>109.433499</v>
      </c>
      <c r="L41" s="7">
        <f>IFERROR(AVERAGE(월별지수!E41,월별지수!Q41,월별지수!AC41)/키워드지표!$C41*100,"")</f>
        <v>96.14921493</v>
      </c>
      <c r="M41" s="7">
        <f>IFERROR(AVERAGE(월별지수!F41,월별지수!R41,월별지수!AD41)/키워드지표!$C41*100,"")</f>
        <v>109.4715494</v>
      </c>
    </row>
    <row r="42">
      <c r="A42" s="3" t="inlineStr">
        <is>
          <t>대전내과</t>
        </is>
      </c>
      <c r="B42" s="7">
        <f>IFERROR(AVERAGE(월별지수!G42,월별지수!S42,월별지수!AE42)/키워드지표!$C42*100,"")</f>
        <v>114.3067478</v>
      </c>
      <c r="C42" s="7">
        <f>IFERROR(AVERAGE(월별지수!H42,월별지수!T42,월별지수!AF42)/키워드지표!$C42*100,"")</f>
        <v>101.4312185</v>
      </c>
      <c r="D42" s="7">
        <f>IFERROR(AVERAGE(월별지수!I42,월별지수!U42,월별지수!AG42)/키워드지표!$C42*100,"")</f>
        <v>94.82643108</v>
      </c>
      <c r="E42" s="7">
        <f>IFERROR(AVERAGE(월별지수!J42,월별지수!V42,월별지수!AH42)/키워드지표!$C42*100,"")</f>
        <v>85.02163001</v>
      </c>
      <c r="F42" s="7">
        <f>IFERROR(AVERAGE(월별지수!K42,월별지수!W42,월별지수!AI42)/키워드지표!$C42*100,"")</f>
        <v>99.36250451</v>
      </c>
      <c r="G42" s="7">
        <f>IFERROR(AVERAGE(월별지수!L42,월별지수!X42,월별지수!AJ42)/키워드지표!$C42*100,"")</f>
        <v>92.60689021</v>
      </c>
      <c r="H42" s="7">
        <f>IFERROR(AVERAGE(월별지수!M42,월별지수!Y42,월별지수!AK42)/키워드지표!$C42*100,"")</f>
        <v>88.92201637</v>
      </c>
      <c r="I42" s="7">
        <f>IFERROR(AVERAGE(월별지수!N42,월별지수!Z42,월별지수!AL42)/키워드지표!$C42*100,"")</f>
        <v>97.75710928</v>
      </c>
      <c r="J42" s="7">
        <f>IFERROR(AVERAGE(월별지수!C42,월별지수!O42,월별지수!AA42)/키워드지표!$C42*100,"")</f>
        <v>105.0729972</v>
      </c>
      <c r="K42" s="7">
        <f>IFERROR(AVERAGE(월별지수!D42,월별지수!P42,월별지수!AB42)/키워드지표!$C42*100,"")</f>
        <v>114.5437895</v>
      </c>
      <c r="L42" s="7">
        <f>IFERROR(AVERAGE(월별지수!E42,월별지수!Q42,월별지수!AC42)/키워드지표!$C42*100,"")</f>
        <v>92.63922077</v>
      </c>
      <c r="M42" s="7">
        <f>IFERROR(AVERAGE(월별지수!F42,월별지수!R42,월별지수!AD42)/키워드지표!$C42*100,"")</f>
        <v>113.5094447</v>
      </c>
    </row>
    <row r="43">
      <c r="A43" s="3" t="inlineStr">
        <is>
          <t>울산내과</t>
        </is>
      </c>
      <c r="B43" s="7">
        <f>IFERROR(AVERAGE(월별지수!G43,월별지수!S43,월별지수!AE43)/키워드지표!$C43*100,"")</f>
        <v>135.2579454</v>
      </c>
      <c r="C43" s="7">
        <f>IFERROR(AVERAGE(월별지수!H43,월별지수!T43,월별지수!AF43)/키워드지표!$C43*100,"")</f>
        <v>106.7684391</v>
      </c>
      <c r="D43" s="7">
        <f>IFERROR(AVERAGE(월별지수!I43,월별지수!U43,월별지수!AG43)/키워드지표!$C43*100,"")</f>
        <v>92.61964533</v>
      </c>
      <c r="E43" s="7">
        <f>IFERROR(AVERAGE(월별지수!J43,월별지수!V43,월별지수!AH43)/키워드지표!$C43*100,"")</f>
        <v>87.63044291</v>
      </c>
      <c r="F43" s="7">
        <f>IFERROR(AVERAGE(월별지수!K43,월별지수!W43,월별지수!AI43)/키워드지표!$C43*100,"")</f>
        <v>96.6237795</v>
      </c>
      <c r="G43" s="7">
        <f>IFERROR(AVERAGE(월별지수!L43,월별지수!X43,월별지수!AJ43)/키워드지표!$C43*100,"")</f>
        <v>82.5261388</v>
      </c>
      <c r="H43" s="7">
        <f>IFERROR(AVERAGE(월별지수!M43,월별지수!Y43,월별지수!AK43)/키워드지표!$C43*100,"")</f>
        <v>83.03785897</v>
      </c>
      <c r="I43" s="7">
        <f>IFERROR(AVERAGE(월별지수!N43,월별지수!Z43,월별지수!AL43)/키워드지표!$C43*100,"")</f>
        <v>92.7347616</v>
      </c>
      <c r="J43" s="7">
        <f>IFERROR(AVERAGE(월별지수!C43,월별지수!O43,월별지수!AA43)/키워드지표!$C43*100,"")</f>
        <v>93.56631234</v>
      </c>
      <c r="K43" s="7">
        <f>IFERROR(AVERAGE(월별지수!D43,월별지수!P43,월별지수!AB43)/키워드지표!$C43*100,"")</f>
        <v>113.062482</v>
      </c>
      <c r="L43" s="7">
        <f>IFERROR(AVERAGE(월별지수!E43,월별지수!Q43,월별지수!AC43)/키워드지표!$C43*100,"")</f>
        <v>97.6088186</v>
      </c>
      <c r="M43" s="7">
        <f>IFERROR(AVERAGE(월별지수!F43,월별지수!R43,월별지수!AD43)/키워드지표!$C43*100,"")</f>
        <v>118.5633755</v>
      </c>
    </row>
    <row r="44">
      <c r="A44" s="3" t="inlineStr">
        <is>
          <t>서울성형외과</t>
        </is>
      </c>
      <c r="B44" s="7">
        <f>IFERROR(AVERAGE(월별지수!G44,월별지수!S44,월별지수!AE44)/키워드지표!$C44*100,"")</f>
        <v>138.8471885</v>
      </c>
      <c r="C44" s="7">
        <f>IFERROR(AVERAGE(월별지수!H44,월별지수!T44,월별지수!AF44)/키워드지표!$C44*100,"")</f>
        <v>103.0341547</v>
      </c>
      <c r="D44" s="7">
        <f>IFERROR(AVERAGE(월별지수!I44,월별지수!U44,월별지수!AG44)/키워드지표!$C44*100,"")</f>
        <v>98.41530944</v>
      </c>
      <c r="E44" s="7">
        <f>IFERROR(AVERAGE(월별지수!J44,월별지수!V44,월별지수!AH44)/키워드지표!$C44*100,"")</f>
        <v>92.88398168</v>
      </c>
      <c r="F44" s="7">
        <f>IFERROR(AVERAGE(월별지수!K44,월별지수!W44,월별지수!AI44)/키워드지표!$C44*100,"")</f>
        <v>83.60120556</v>
      </c>
      <c r="G44" s="7">
        <f>IFERROR(AVERAGE(월별지수!L44,월별지수!X44,월별지수!AJ44)/키워드지표!$C44*100,"")</f>
        <v>80.63836051</v>
      </c>
      <c r="H44" s="7">
        <f>IFERROR(AVERAGE(월별지수!M44,월별지수!Y44,월별지수!AK44)/키워드지표!$C44*100,"")</f>
        <v>87.54410079</v>
      </c>
      <c r="I44" s="7">
        <f>IFERROR(AVERAGE(월별지수!N44,월별지수!Z44,월별지수!AL44)/키워드지표!$C44*100,"")</f>
        <v>87.61172917</v>
      </c>
      <c r="J44" s="7">
        <f>IFERROR(AVERAGE(월별지수!C44,월별지수!O44,월별지수!AA44)/키워드지표!$C44*100,"")</f>
        <v>95.39615292</v>
      </c>
      <c r="K44" s="7">
        <f>IFERROR(AVERAGE(월별지수!D44,월별지수!P44,월별지수!AB44)/키워드지표!$C44*100,"")</f>
        <v>100.9500538</v>
      </c>
      <c r="L44" s="7">
        <f>IFERROR(AVERAGE(월별지수!E44,월별지수!Q44,월별지수!AC44)/키워드지표!$C44*100,"")</f>
        <v>108.1937843</v>
      </c>
      <c r="M44" s="7">
        <f>IFERROR(AVERAGE(월별지수!F44,월별지수!R44,월별지수!AD44)/키워드지표!$C44*100,"")</f>
        <v>122.8839786</v>
      </c>
    </row>
    <row r="45">
      <c r="A45" s="3" t="inlineStr">
        <is>
          <t>부산성형외과</t>
        </is>
      </c>
      <c r="B45" s="7">
        <f>IFERROR(AVERAGE(월별지수!G45,월별지수!S45,월별지수!AE45)/키워드지표!$C45*100,"")</f>
        <v>107.9836148</v>
      </c>
      <c r="C45" s="7">
        <f>IFERROR(AVERAGE(월별지수!H45,월별지수!T45,월별지수!AF45)/키워드지표!$C45*100,"")</f>
        <v>95.06605344</v>
      </c>
      <c r="D45" s="7">
        <f>IFERROR(AVERAGE(월별지수!I45,월별지수!U45,월별지수!AG45)/키워드지표!$C45*100,"")</f>
        <v>75.13793288</v>
      </c>
      <c r="E45" s="7">
        <f>IFERROR(AVERAGE(월별지수!J45,월별지수!V45,월별지수!AH45)/키워드지표!$C45*100,"")</f>
        <v>105.0804852</v>
      </c>
      <c r="F45" s="7">
        <f>IFERROR(AVERAGE(월별지수!K45,월별지수!W45,월별지수!AI45)/키워드지표!$C45*100,"")</f>
        <v>90.62435983</v>
      </c>
      <c r="G45" s="7">
        <f>IFERROR(AVERAGE(월별지수!L45,월별지수!X45,월별지수!AJ45)/키워드지표!$C45*100,"")</f>
        <v>102.1407057</v>
      </c>
      <c r="H45" s="7">
        <f>IFERROR(AVERAGE(월별지수!M45,월별지수!Y45,월별지수!AK45)/키워드지표!$C45*100,"")</f>
        <v>138.1230605</v>
      </c>
      <c r="I45" s="7">
        <f>IFERROR(AVERAGE(월별지수!N45,월별지수!Z45,월별지수!AL45)/키워드지표!$C45*100,"")</f>
        <v>130.4164748</v>
      </c>
      <c r="J45" s="7">
        <f>IFERROR(AVERAGE(월별지수!C45,월별지수!O45,월별지수!AA45)/키워드지표!$C45*100,"")</f>
        <v>104.2104492</v>
      </c>
      <c r="K45" s="7">
        <f>IFERROR(AVERAGE(월별지수!D45,월별지수!P45,월별지수!AB45)/키워드지표!$C45*100,"")</f>
        <v>89.11783128</v>
      </c>
      <c r="L45" s="7">
        <f>IFERROR(AVERAGE(월별지수!E45,월별지수!Q45,월별지수!AC45)/키워드지표!$C45*100,"")</f>
        <v>81.87833213</v>
      </c>
      <c r="M45" s="7">
        <f>IFERROR(AVERAGE(월별지수!F45,월별지수!R45,월별지수!AD45)/키워드지표!$C45*100,"")</f>
        <v>80.22070035</v>
      </c>
    </row>
    <row r="46">
      <c r="A46" s="3" t="inlineStr">
        <is>
          <t>대구성형외과</t>
        </is>
      </c>
      <c r="B46" s="7">
        <f>IFERROR(AVERAGE(월별지수!G46,월별지수!S46,월별지수!AE46)/키워드지표!$C46*100,"")</f>
        <v>117.4083633</v>
      </c>
      <c r="C46" s="7">
        <f>IFERROR(AVERAGE(월별지수!H46,월별지수!T46,월별지수!AF46)/키워드지표!$C46*100,"")</f>
        <v>111.7620126</v>
      </c>
      <c r="D46" s="7">
        <f>IFERROR(AVERAGE(월별지수!I46,월별지수!U46,월별지수!AG46)/키워드지표!$C46*100,"")</f>
        <v>131.8702437</v>
      </c>
      <c r="E46" s="7">
        <f>IFERROR(AVERAGE(월별지수!J46,월별지수!V46,월별지수!AH46)/키워드지표!$C46*100,"")</f>
        <v>89.52103579</v>
      </c>
      <c r="F46" s="7">
        <f>IFERROR(AVERAGE(월별지수!K46,월별지수!W46,월별지수!AI46)/키워드지표!$C46*100,"")</f>
        <v>77.34765666</v>
      </c>
      <c r="G46" s="7">
        <f>IFERROR(AVERAGE(월별지수!L46,월별지수!X46,월별지수!AJ46)/키워드지표!$C46*100,"")</f>
        <v>101.7183679</v>
      </c>
      <c r="H46" s="7">
        <f>IFERROR(AVERAGE(월별지수!M46,월별지수!Y46,월별지수!AK46)/키워드지표!$C46*100,"")</f>
        <v>94.60125297</v>
      </c>
      <c r="I46" s="7">
        <f>IFERROR(AVERAGE(월별지수!N46,월별지수!Z46,월별지수!AL46)/키워드지표!$C46*100,"")</f>
        <v>112.6965755</v>
      </c>
      <c r="J46" s="7">
        <f>IFERROR(AVERAGE(월별지수!C46,월별지수!O46,월별지수!AA46)/키워드지표!$C46*100,"")</f>
        <v>94.3526317</v>
      </c>
      <c r="K46" s="7">
        <f>IFERROR(AVERAGE(월별지수!D46,월별지수!P46,월별지수!AB46)/키워드지표!$C46*100,"")</f>
        <v>88.11018648</v>
      </c>
      <c r="L46" s="7">
        <f>IFERROR(AVERAGE(월별지수!E46,월별지수!Q46,월별지수!AC46)/키워드지표!$C46*100,"")</f>
        <v>85.91754757</v>
      </c>
      <c r="M46" s="7">
        <f>IFERROR(AVERAGE(월별지수!F46,월별지수!R46,월별지수!AD46)/키워드지표!$C46*100,"")</f>
        <v>94.69412581</v>
      </c>
    </row>
    <row r="47">
      <c r="A47" s="3" t="inlineStr">
        <is>
          <t>인천성형외과</t>
        </is>
      </c>
      <c r="B47" s="7">
        <f>IFERROR(AVERAGE(월별지수!G47,월별지수!S47,월별지수!AE47)/키워드지표!$C47*100,"")</f>
        <v>90.31113249</v>
      </c>
      <c r="C47" s="7">
        <f>IFERROR(AVERAGE(월별지수!H47,월별지수!T47,월별지수!AF47)/키워드지표!$C47*100,"")</f>
        <v>97.74573762</v>
      </c>
      <c r="D47" s="7">
        <f>IFERROR(AVERAGE(월별지수!I47,월별지수!U47,월별지수!AG47)/키워드지표!$C47*100,"")</f>
        <v>81.87925256</v>
      </c>
      <c r="E47" s="7">
        <f>IFERROR(AVERAGE(월별지수!J47,월별지수!V47,월별지수!AH47)/키워드지표!$C47*100,"")</f>
        <v>107.7931199</v>
      </c>
      <c r="F47" s="7">
        <f>IFERROR(AVERAGE(월별지수!K47,월별지수!W47,월별지수!AI47)/키워드지표!$C47*100,"")</f>
        <v>132.7343913</v>
      </c>
      <c r="G47" s="7">
        <f>IFERROR(AVERAGE(월별지수!L47,월별지수!X47,월별지수!AJ47)/키워드지표!$C47*100,"")</f>
        <v>130.8633756</v>
      </c>
      <c r="H47" s="7">
        <f>IFERROR(AVERAGE(월별지수!M47,월별지수!Y47,월별지수!AK47)/키워드지표!$C47*100,"")</f>
        <v>100.0618301</v>
      </c>
      <c r="I47" s="7">
        <f>IFERROR(AVERAGE(월별지수!N47,월별지수!Z47,월별지수!AL47)/키워드지표!$C47*100,"")</f>
        <v>168.3000413</v>
      </c>
      <c r="J47" s="7">
        <f>IFERROR(AVERAGE(월별지수!C47,월별지수!O47,월별지수!AA47)/키워드지표!$C47*100,"")</f>
        <v>90.49246966</v>
      </c>
      <c r="K47" s="7">
        <f>IFERROR(AVERAGE(월별지수!D47,월별지수!P47,월별지수!AB47)/키워드지표!$C47*100,"")</f>
        <v>62.16361504</v>
      </c>
      <c r="L47" s="7">
        <f>IFERROR(AVERAGE(월별지수!E47,월별지수!Q47,월별지수!AC47)/키워드지표!$C47*100,"")</f>
        <v>61.61135729</v>
      </c>
      <c r="M47" s="7">
        <f>IFERROR(AVERAGE(월별지수!F47,월별지수!R47,월별지수!AD47)/키워드지표!$C47*100,"")</f>
        <v>76.04367722</v>
      </c>
    </row>
    <row r="48">
      <c r="A48" s="3" t="inlineStr">
        <is>
          <t>광주성형외과</t>
        </is>
      </c>
      <c r="B48" s="7">
        <f>IFERROR(AVERAGE(월별지수!G48,월별지수!S48,월별지수!AE48)/키워드지표!$C48*100,"")</f>
        <v>124.6865585</v>
      </c>
      <c r="C48" s="7">
        <f>IFERROR(AVERAGE(월별지수!H48,월별지수!T48,월별지수!AF48)/키워드지표!$C48*100,"")</f>
        <v>85.89910206</v>
      </c>
      <c r="D48" s="7">
        <f>IFERROR(AVERAGE(월별지수!I48,월별지수!U48,월별지수!AG48)/키워드지표!$C48*100,"")</f>
        <v>82.69942979</v>
      </c>
      <c r="E48" s="7">
        <f>IFERROR(AVERAGE(월별지수!J48,월별지수!V48,월별지수!AH48)/키워드지표!$C48*100,"")</f>
        <v>85.88016492</v>
      </c>
      <c r="F48" s="7">
        <f>IFERROR(AVERAGE(월별지수!K48,월별지수!W48,월별지수!AI48)/키워드지표!$C48*100,"")</f>
        <v>87.20548441</v>
      </c>
      <c r="G48" s="7">
        <f>IFERROR(AVERAGE(월별지수!L48,월별지수!X48,월별지수!AJ48)/키워드지표!$C48*100,"")</f>
        <v>86.9909138</v>
      </c>
      <c r="H48" s="7">
        <f>IFERROR(AVERAGE(월별지수!M48,월별지수!Y48,월별지수!AK48)/키워드지표!$C48*100,"")</f>
        <v>90.2158356</v>
      </c>
      <c r="I48" s="7">
        <f>IFERROR(AVERAGE(월별지수!N48,월별지수!Z48,월별지수!AL48)/키워드지표!$C48*100,"")</f>
        <v>90.33574926</v>
      </c>
      <c r="J48" s="7">
        <f>IFERROR(AVERAGE(월별지수!C48,월별지수!O48,월별지수!AA48)/키워드지표!$C48*100,"")</f>
        <v>100.5595767</v>
      </c>
      <c r="K48" s="7">
        <f>IFERROR(AVERAGE(월별지수!D48,월별지수!P48,월별지수!AB48)/키워드지표!$C48*100,"")</f>
        <v>120.628575</v>
      </c>
      <c r="L48" s="7">
        <f>IFERROR(AVERAGE(월별지수!E48,월별지수!Q48,월별지수!AC48)/키워드지표!$C48*100,"")</f>
        <v>110.5940759</v>
      </c>
      <c r="M48" s="7">
        <f>IFERROR(AVERAGE(월별지수!F48,월별지수!R48,월별지수!AD48)/키워드지표!$C48*100,"")</f>
        <v>134.304534</v>
      </c>
    </row>
    <row r="49">
      <c r="A49" s="3" t="inlineStr">
        <is>
          <t>대전성형외과</t>
        </is>
      </c>
      <c r="B49" s="7">
        <f>IFERROR(AVERAGE(월별지수!G49,월별지수!S49,월별지수!AE49)/키워드지표!$C49*100,"")</f>
        <v>124.8887637</v>
      </c>
      <c r="C49" s="7">
        <f>IFERROR(AVERAGE(월별지수!H49,월별지수!T49,월별지수!AF49)/키워드지표!$C49*100,"")</f>
        <v>86.93404401</v>
      </c>
      <c r="D49" s="7">
        <f>IFERROR(AVERAGE(월별지수!I49,월별지수!U49,월별지수!AG49)/키워드지표!$C49*100,"")</f>
        <v>109.0043385</v>
      </c>
      <c r="E49" s="7">
        <f>IFERROR(AVERAGE(월별지수!J49,월별지수!V49,월별지수!AH49)/키워드지표!$C49*100,"")</f>
        <v>90.69353139</v>
      </c>
      <c r="F49" s="7">
        <f>IFERROR(AVERAGE(월별지수!K49,월별지수!W49,월별지수!AI49)/키워드지표!$C49*100,"")</f>
        <v>92.73199353</v>
      </c>
      <c r="G49" s="7">
        <f>IFERROR(AVERAGE(월별지수!L49,월별지수!X49,월별지수!AJ49)/키워드지표!$C49*100,"")</f>
        <v>81.53107104</v>
      </c>
      <c r="H49" s="7">
        <f>IFERROR(AVERAGE(월별지수!M49,월별지수!Y49,월별지수!AK49)/키워드지표!$C49*100,"")</f>
        <v>108.1155901</v>
      </c>
      <c r="I49" s="7">
        <f>IFERROR(AVERAGE(월별지수!N49,월별지수!Z49,월별지수!AL49)/키워드지표!$C49*100,"")</f>
        <v>95.44052831</v>
      </c>
      <c r="J49" s="7">
        <f>IFERROR(AVERAGE(월별지수!C49,월별지수!O49,월별지수!AA49)/키워드지표!$C49*100,"")</f>
        <v>98.57932365</v>
      </c>
      <c r="K49" s="7">
        <f>IFERROR(AVERAGE(월별지수!D49,월별지수!P49,월별지수!AB49)/키워드지표!$C49*100,"")</f>
        <v>96.15996448</v>
      </c>
      <c r="L49" s="7">
        <f>IFERROR(AVERAGE(월별지수!E49,월별지수!Q49,월별지수!AC49)/키워드지표!$C49*100,"")</f>
        <v>102.9524633</v>
      </c>
      <c r="M49" s="7">
        <f>IFERROR(AVERAGE(월별지수!F49,월별지수!R49,월별지수!AD49)/키워드지표!$C49*100,"")</f>
        <v>112.968388</v>
      </c>
    </row>
    <row r="50">
      <c r="A50" s="3" t="inlineStr">
        <is>
          <t>울산성형외과</t>
        </is>
      </c>
      <c r="B50" s="7">
        <f>IFERROR(AVERAGE(월별지수!G50,월별지수!S50,월별지수!AE50)/키워드지표!$C50*100,"")</f>
        <v>113.9725997</v>
      </c>
      <c r="C50" s="7">
        <f>IFERROR(AVERAGE(월별지수!H50,월별지수!T50,월별지수!AF50)/키워드지표!$C50*100,"")</f>
        <v>95.55262252</v>
      </c>
      <c r="D50" s="7">
        <f>IFERROR(AVERAGE(월별지수!I50,월별지수!U50,월별지수!AG50)/키워드지표!$C50*100,"")</f>
        <v>92.83542141</v>
      </c>
      <c r="E50" s="7">
        <f>IFERROR(AVERAGE(월별지수!J50,월별지수!V50,월별지수!AH50)/키워드지표!$C50*100,"")</f>
        <v>95.22238484</v>
      </c>
      <c r="F50" s="7">
        <f>IFERROR(AVERAGE(월별지수!K50,월별지수!W50,월별지수!AI50)/키워드지표!$C50*100,"")</f>
        <v>103.4490655</v>
      </c>
      <c r="G50" s="7">
        <f>IFERROR(AVERAGE(월별지수!L50,월별지수!X50,월별지수!AJ50)/키워드지표!$C50*100,"")</f>
        <v>97.38413335</v>
      </c>
      <c r="H50" s="7">
        <f>IFERROR(AVERAGE(월별지수!M50,월별지수!Y50,월별지수!AK50)/키워드지표!$C50*100,"")</f>
        <v>100.1013345</v>
      </c>
      <c r="I50" s="7">
        <f>IFERROR(AVERAGE(월별지수!N50,월별지수!Z50,월별지수!AL50)/키워드지표!$C50*100,"")</f>
        <v>103.5090932</v>
      </c>
      <c r="J50" s="7">
        <f>IFERROR(AVERAGE(월별지수!C50,월별지수!O50,월별지수!AA50)/키워드지표!$C50*100,"")</f>
        <v>98.19478049</v>
      </c>
      <c r="K50" s="7">
        <f>IFERROR(AVERAGE(월별지수!D50,월별지수!P50,월별지수!AB50)/키워드지표!$C50*100,"")</f>
        <v>96.70857411</v>
      </c>
      <c r="L50" s="7">
        <f>IFERROR(AVERAGE(월별지수!E50,월별지수!Q50,월별지수!AC50)/키워드지표!$C50*100,"")</f>
        <v>92.0097588</v>
      </c>
      <c r="M50" s="7">
        <f>IFERROR(AVERAGE(월별지수!F50,월별지수!R50,월별지수!AD50)/키워드지표!$C50*100,"")</f>
        <v>111.0602317</v>
      </c>
    </row>
    <row r="51">
      <c r="A51" s="3" t="inlineStr">
        <is>
          <t>수원피부과</t>
        </is>
      </c>
      <c r="B51" s="7">
        <f>IFERROR(AVERAGE(월별지수!G51,월별지수!S51,월별지수!AE51)/키워드지표!$C51*100,"")</f>
        <v>90.70041953</v>
      </c>
      <c r="C51" s="7">
        <f>IFERROR(AVERAGE(월별지수!H51,월별지수!T51,월별지수!AF51)/키워드지표!$C51*100,"")</f>
        <v>117.9347514</v>
      </c>
      <c r="D51" s="7">
        <f>IFERROR(AVERAGE(월별지수!I51,월별지수!U51,월별지수!AG51)/키워드지표!$C51*100,"")</f>
        <v>86.66448287</v>
      </c>
      <c r="E51" s="7">
        <f>IFERROR(AVERAGE(월별지수!J51,월별지수!V51,월별지수!AH51)/키워드지표!$C51*100,"")</f>
        <v>71.88437994</v>
      </c>
      <c r="F51" s="7">
        <f>IFERROR(AVERAGE(월별지수!K51,월별지수!W51,월별지수!AI51)/키워드지표!$C51*100,"")</f>
        <v>112.5260101</v>
      </c>
      <c r="G51" s="7">
        <f>IFERROR(AVERAGE(월별지수!L51,월별지수!X51,월별지수!AJ51)/키워드지표!$C51*100,"")</f>
        <v>117.4178841</v>
      </c>
      <c r="H51" s="7">
        <f>IFERROR(AVERAGE(월별지수!M51,월별지수!Y51,월별지수!AK51)/키워드지표!$C51*100,"")</f>
        <v>135.5740982</v>
      </c>
      <c r="I51" s="7">
        <f>IFERROR(AVERAGE(월별지수!N51,월별지수!Z51,월별지수!AL51)/키워드지표!$C51*100,"")</f>
        <v>134.8354626</v>
      </c>
      <c r="J51" s="7">
        <f>IFERROR(AVERAGE(월별지수!C51,월별지수!O51,월별지수!AA51)/키워드지표!$C51*100,"")</f>
        <v>89.81698493</v>
      </c>
      <c r="K51" s="7">
        <f>IFERROR(AVERAGE(월별지수!D51,월별지수!P51,월별지수!AB51)/키워드지표!$C51*100,"")</f>
        <v>93.32139249</v>
      </c>
      <c r="L51" s="7">
        <f>IFERROR(AVERAGE(월별지수!E51,월별지수!Q51,월별지수!AC51)/키워드지표!$C51*100,"")</f>
        <v>73.73556006</v>
      </c>
      <c r="M51" s="7">
        <f>IFERROR(AVERAGE(월별지수!F51,월별지수!R51,월별지수!AD51)/키워드지표!$C51*100,"")</f>
        <v>75.5885738</v>
      </c>
    </row>
    <row r="52">
      <c r="A52" s="3" t="inlineStr">
        <is>
          <t>창원피부과</t>
        </is>
      </c>
      <c r="B52" s="7">
        <f>IFERROR(AVERAGE(월별지수!G52,월별지수!S52,월별지수!AE52)/키워드지표!$C52*100,"")</f>
        <v>94.52990426</v>
      </c>
      <c r="C52" s="7">
        <f>IFERROR(AVERAGE(월별지수!H52,월별지수!T52,월별지수!AF52)/키워드지표!$C52*100,"")</f>
        <v>84.188719</v>
      </c>
      <c r="D52" s="7">
        <f>IFERROR(AVERAGE(월별지수!I52,월별지수!U52,월별지수!AG52)/키워드지표!$C52*100,"")</f>
        <v>108.1747953</v>
      </c>
      <c r="E52" s="7">
        <f>IFERROR(AVERAGE(월별지수!J52,월별지수!V52,월별지수!AH52)/키워드지표!$C52*100,"")</f>
        <v>93.96522465</v>
      </c>
      <c r="F52" s="7">
        <f>IFERROR(AVERAGE(월별지수!K52,월별지수!W52,월별지수!AI52)/키워드지표!$C52*100,"")</f>
        <v>135.9949389</v>
      </c>
      <c r="G52" s="7">
        <f>IFERROR(AVERAGE(월별지수!L52,월별지수!X52,월별지수!AJ52)/키워드지표!$C52*100,"")</f>
        <v>124.5956186</v>
      </c>
      <c r="H52" s="7">
        <f>IFERROR(AVERAGE(월별지수!M52,월별지수!Y52,월별지수!AK52)/키워드지표!$C52*100,"")</f>
        <v>111.7027848</v>
      </c>
      <c r="I52" s="7">
        <f>IFERROR(AVERAGE(월별지수!N52,월별지수!Z52,월별지수!AL52)/키워드지표!$C52*100,"")</f>
        <v>125.7988729</v>
      </c>
      <c r="J52" s="7">
        <f>IFERROR(AVERAGE(월별지수!C52,월별지수!O52,월별지수!AA52)/키워드지표!$C52*100,"")</f>
        <v>83.7955469</v>
      </c>
      <c r="K52" s="7">
        <f>IFERROR(AVERAGE(월별지수!D52,월별지수!P52,월별지수!AB52)/키워드지표!$C52*100,"")</f>
        <v>82.3468797</v>
      </c>
      <c r="L52" s="7">
        <f>IFERROR(AVERAGE(월별지수!E52,월별지수!Q52,월별지수!AC52)/키워드지표!$C52*100,"")</f>
        <v>69.83401872</v>
      </c>
      <c r="M52" s="7">
        <f>IFERROR(AVERAGE(월별지수!F52,월별지수!R52,월별지수!AD52)/키워드지표!$C52*100,"")</f>
        <v>85.07269627</v>
      </c>
    </row>
    <row r="53">
      <c r="A53" s="3" t="inlineStr">
        <is>
          <t>제주피부과</t>
        </is>
      </c>
      <c r="B53" s="7">
        <f>IFERROR(AVERAGE(월별지수!G53,월별지수!S53,월별지수!AE53)/키워드지표!$C53*100,"")</f>
        <v>112.5471542</v>
      </c>
      <c r="C53" s="7">
        <f>IFERROR(AVERAGE(월별지수!H53,월별지수!T53,월별지수!AF53)/키워드지표!$C53*100,"")</f>
        <v>90.69627331</v>
      </c>
      <c r="D53" s="7">
        <f>IFERROR(AVERAGE(월별지수!I53,월별지수!U53,월별지수!AG53)/키워드지표!$C53*100,"")</f>
        <v>114.9444689</v>
      </c>
      <c r="E53" s="7">
        <f>IFERROR(AVERAGE(월별지수!J53,월별지수!V53,월별지수!AH53)/키워드지표!$C53*100,"")</f>
        <v>102.4643133</v>
      </c>
      <c r="F53" s="7">
        <f>IFERROR(AVERAGE(월별지수!K53,월별지수!W53,월별지수!AI53)/키워드지표!$C53*100,"")</f>
        <v>99.73557428</v>
      </c>
      <c r="G53" s="7">
        <f>IFERROR(AVERAGE(월별지수!L53,월별지수!X53,월별지수!AJ53)/키워드지표!$C53*100,"")</f>
        <v>110.5165057</v>
      </c>
      <c r="H53" s="7">
        <f>IFERROR(AVERAGE(월별지수!M53,월별지수!Y53,월별지수!AK53)/키워드지표!$C53*100,"")</f>
        <v>109.4447501</v>
      </c>
      <c r="I53" s="7">
        <f>IFERROR(AVERAGE(월별지수!N53,월별지수!Z53,월별지수!AL53)/키워드지표!$C53*100,"")</f>
        <v>101.8720316</v>
      </c>
      <c r="J53" s="7">
        <f>IFERROR(AVERAGE(월별지수!C53,월별지수!O53,월별지수!AA53)/키워드지표!$C53*100,"")</f>
        <v>102.3373977</v>
      </c>
      <c r="K53" s="7">
        <f>IFERROR(AVERAGE(월별지수!D53,월별지수!P53,월별지수!AB53)/키워드지표!$C53*100,"")</f>
        <v>83.83569812</v>
      </c>
      <c r="L53" s="7">
        <f>IFERROR(AVERAGE(월별지수!E53,월별지수!Q53,월별지수!AC53)/키워드지표!$C53*100,"")</f>
        <v>79.81666961</v>
      </c>
      <c r="M53" s="7">
        <f>IFERROR(AVERAGE(월별지수!F53,월별지수!R53,월별지수!AD53)/키워드지표!$C53*100,"")</f>
        <v>91.78916316</v>
      </c>
    </row>
    <row r="54">
      <c r="A54" s="3" t="inlineStr">
        <is>
          <t>수원치과</t>
        </is>
      </c>
      <c r="B54" s="7">
        <f>IFERROR(AVERAGE(월별지수!G54,월별지수!S54,월별지수!AE54)/키워드지표!$C54*100,"")</f>
        <v>104.3474265</v>
      </c>
      <c r="C54" s="7">
        <f>IFERROR(AVERAGE(월별지수!H54,월별지수!T54,월별지수!AF54)/키워드지표!$C54*100,"")</f>
        <v>84.75231113</v>
      </c>
      <c r="D54" s="7">
        <f>IFERROR(AVERAGE(월별지수!I54,월별지수!U54,월별지수!AG54)/키워드지표!$C54*100,"")</f>
        <v>119.1122916</v>
      </c>
      <c r="E54" s="7">
        <f>IFERROR(AVERAGE(월별지수!J54,월별지수!V54,월별지수!AH54)/키워드지표!$C54*100,"")</f>
        <v>91.28630034</v>
      </c>
      <c r="F54" s="7">
        <f>IFERROR(AVERAGE(월별지수!K54,월별지수!W54,월별지수!AI54)/키워드지표!$C54*100,"")</f>
        <v>97.03466263</v>
      </c>
      <c r="G54" s="7">
        <f>IFERROR(AVERAGE(월별지수!L54,월별지수!X54,월별지수!AJ54)/키워드지표!$C54*100,"")</f>
        <v>98.72467377</v>
      </c>
      <c r="H54" s="7">
        <f>IFERROR(AVERAGE(월별지수!M54,월별지수!Y54,월별지수!AK54)/키워드지표!$C54*100,"")</f>
        <v>163.8933055</v>
      </c>
      <c r="I54" s="7">
        <f>IFERROR(AVERAGE(월별지수!N54,월별지수!Z54,월별지수!AL54)/키워드지표!$C54*100,"")</f>
        <v>124.4586847</v>
      </c>
      <c r="J54" s="7">
        <f>IFERROR(AVERAGE(월별지수!C54,월별지수!O54,월별지수!AA54)/키워드지표!$C54*100,"")</f>
        <v>87.49517636</v>
      </c>
      <c r="K54" s="7">
        <f>IFERROR(AVERAGE(월별지수!D54,월별지수!P54,월별지수!AB54)/키워드지표!$C54*100,"")</f>
        <v>80.16412425</v>
      </c>
      <c r="L54" s="7">
        <f>IFERROR(AVERAGE(월별지수!E54,월별지수!Q54,월별지수!AC54)/키워드지표!$C54*100,"")</f>
        <v>68.14212437</v>
      </c>
      <c r="M54" s="7">
        <f>IFERROR(AVERAGE(월별지수!F54,월별지수!R54,월별지수!AD54)/키워드지표!$C54*100,"")</f>
        <v>80.58891888</v>
      </c>
    </row>
    <row r="55">
      <c r="A55" s="3" t="inlineStr">
        <is>
          <t>천안치과</t>
        </is>
      </c>
      <c r="B55" s="7">
        <f>IFERROR(AVERAGE(월별지수!G55,월별지수!S55,월별지수!AE55)/키워드지표!$C55*100,"")</f>
        <v>78.40187577</v>
      </c>
      <c r="C55" s="7">
        <f>IFERROR(AVERAGE(월별지수!H55,월별지수!T55,월별지수!AF55)/키워드지표!$C55*100,"")</f>
        <v>105.6854341</v>
      </c>
      <c r="D55" s="7">
        <f>IFERROR(AVERAGE(월별지수!I55,월별지수!U55,월별지수!AG55)/키워드지표!$C55*100,"")</f>
        <v>89.47257099</v>
      </c>
      <c r="E55" s="7">
        <f>IFERROR(AVERAGE(월별지수!J55,월별지수!V55,월별지수!AH55)/키워드지표!$C55*100,"")</f>
        <v>93.2052188</v>
      </c>
      <c r="F55" s="7">
        <f>IFERROR(AVERAGE(월별지수!K55,월별지수!W55,월별지수!AI55)/키워드지표!$C55*100,"")</f>
        <v>104.9937296</v>
      </c>
      <c r="G55" s="7">
        <f>IFERROR(AVERAGE(월별지수!L55,월별지수!X55,월별지수!AJ55)/키워드지표!$C55*100,"")</f>
        <v>93.8936656</v>
      </c>
      <c r="H55" s="7">
        <f>IFERROR(AVERAGE(월별지수!M55,월별지수!Y55,월별지수!AK55)/키워드지표!$C55*100,"")</f>
        <v>187.806927</v>
      </c>
      <c r="I55" s="7">
        <f>IFERROR(AVERAGE(월별지수!N55,월별지수!Z55,월별지수!AL55)/키워드지표!$C55*100,"")</f>
        <v>159.7500731</v>
      </c>
      <c r="J55" s="7">
        <f>IFERROR(AVERAGE(월별지수!C55,월별지수!O55,월별지수!AA55)/키워드지표!$C55*100,"")</f>
        <v>90.26867018</v>
      </c>
      <c r="K55" s="7">
        <f>IFERROR(AVERAGE(월별지수!D55,월별지수!P55,월별지수!AB55)/키워드지표!$C55*100,"")</f>
        <v>68.23823967</v>
      </c>
      <c r="L55" s="7">
        <f>IFERROR(AVERAGE(월별지수!E55,월별지수!Q55,월별지수!AC55)/키워드지표!$C55*100,"")</f>
        <v>52.68447118</v>
      </c>
      <c r="M55" s="7">
        <f>IFERROR(AVERAGE(월별지수!F55,월별지수!R55,월별지수!AD55)/키워드지표!$C55*100,"")</f>
        <v>75.59912394</v>
      </c>
    </row>
    <row r="56">
      <c r="A56" s="3" t="inlineStr">
        <is>
          <t>청주치과</t>
        </is>
      </c>
      <c r="B56" s="7">
        <f>IFERROR(AVERAGE(월별지수!G56,월별지수!S56,월별지수!AE56)/키워드지표!$C56*100,"")</f>
        <v>81.38161539</v>
      </c>
      <c r="C56" s="7">
        <f>IFERROR(AVERAGE(월별지수!H56,월별지수!T56,월별지수!AF56)/키워드지표!$C56*100,"")</f>
        <v>86.99117825</v>
      </c>
      <c r="D56" s="7">
        <f>IFERROR(AVERAGE(월별지수!I56,월별지수!U56,월별지수!AG56)/키워드지표!$C56*100,"")</f>
        <v>114.4541755</v>
      </c>
      <c r="E56" s="7">
        <f>IFERROR(AVERAGE(월별지수!J56,월별지수!V56,월별지수!AH56)/키워드지표!$C56*100,"")</f>
        <v>79.60803695</v>
      </c>
      <c r="F56" s="7">
        <f>IFERROR(AVERAGE(월별지수!K56,월별지수!W56,월별지수!AI56)/키워드지표!$C56*100,"")</f>
        <v>147.2569864</v>
      </c>
      <c r="G56" s="7">
        <f>IFERROR(AVERAGE(월별지수!L56,월별지수!X56,월별지수!AJ56)/키워드지표!$C56*100,"")</f>
        <v>102.7671839</v>
      </c>
      <c r="H56" s="7">
        <f>IFERROR(AVERAGE(월별지수!M56,월별지수!Y56,월별지수!AK56)/키워드지표!$C56*100,"")</f>
        <v>162.8945426</v>
      </c>
      <c r="I56" s="7">
        <f>IFERROR(AVERAGE(월별지수!N56,월별지수!Z56,월별지수!AL56)/키워드지표!$C56*100,"")</f>
        <v>117.700564</v>
      </c>
      <c r="J56" s="7">
        <f>IFERROR(AVERAGE(월별지수!C56,월별지수!O56,월별지수!AA56)/키워드지표!$C56*100,"")</f>
        <v>93.10919579</v>
      </c>
      <c r="K56" s="7">
        <f>IFERROR(AVERAGE(월별지수!D56,월별지수!P56,월별지수!AB56)/키워드지표!$C56*100,"")</f>
        <v>79.92552473</v>
      </c>
      <c r="L56" s="7">
        <f>IFERROR(AVERAGE(월별지수!E56,월별지수!Q56,월별지수!AC56)/키워드지표!$C56*100,"")</f>
        <v>56.27225933</v>
      </c>
      <c r="M56" s="7">
        <f>IFERROR(AVERAGE(월별지수!F56,월별지수!R56,월별지수!AD56)/키워드지표!$C56*100,"")</f>
        <v>77.63873721</v>
      </c>
    </row>
    <row r="57">
      <c r="A57" s="3" t="inlineStr">
        <is>
          <t>수원내과</t>
        </is>
      </c>
      <c r="B57" s="7">
        <f>IFERROR(AVERAGE(월별지수!G57,월별지수!S57,월별지수!AE57)/키워드지표!$C57*100,"")</f>
        <v>142.6963271</v>
      </c>
      <c r="C57" s="7">
        <f>IFERROR(AVERAGE(월별지수!H57,월별지수!T57,월별지수!AF57)/키워드지표!$C57*100,"")</f>
        <v>93.72696127</v>
      </c>
      <c r="D57" s="7">
        <f>IFERROR(AVERAGE(월별지수!I57,월별지수!U57,월별지수!AG57)/키워드지표!$C57*100,"")</f>
        <v>85.02814507</v>
      </c>
      <c r="E57" s="7">
        <f>IFERROR(AVERAGE(월별지수!J57,월별지수!V57,월별지수!AH57)/키워드지표!$C57*100,"")</f>
        <v>74.67701089</v>
      </c>
      <c r="F57" s="7">
        <f>IFERROR(AVERAGE(월별지수!K57,월별지수!W57,월별지수!AI57)/키워드지표!$C57*100,"")</f>
        <v>89.6124426</v>
      </c>
      <c r="G57" s="7">
        <f>IFERROR(AVERAGE(월별지수!L57,월별지수!X57,월별지수!AJ57)/키워드지표!$C57*100,"")</f>
        <v>93.43539094</v>
      </c>
      <c r="H57" s="7">
        <f>IFERROR(AVERAGE(월별지수!M57,월별지수!Y57,월별지수!AK57)/키워드지표!$C57*100,"")</f>
        <v>118.6733126</v>
      </c>
      <c r="I57" s="7">
        <f>IFERROR(AVERAGE(월별지수!N57,월별지수!Z57,월별지수!AL57)/키워드지표!$C57*100,"")</f>
        <v>98.99161417</v>
      </c>
      <c r="J57" s="7">
        <f>IFERROR(AVERAGE(월별지수!C57,월별지수!O57,월별지수!AA57)/키워드지표!$C57*100,"")</f>
        <v>91.5886989</v>
      </c>
      <c r="K57" s="7">
        <f>IFERROR(AVERAGE(월별지수!D57,월별지수!P57,월별지수!AB57)/키워드지표!$C57*100,"")</f>
        <v>103.8998869</v>
      </c>
      <c r="L57" s="7">
        <f>IFERROR(AVERAGE(월별지수!E57,월별지수!Q57,월별지수!AC57)/키워드지표!$C57*100,"")</f>
        <v>89.70963886</v>
      </c>
      <c r="M57" s="7">
        <f>IFERROR(AVERAGE(월별지수!F57,월별지수!R57,월별지수!AD57)/키워드지표!$C57*100,"")</f>
        <v>117.9605707</v>
      </c>
    </row>
    <row r="58">
      <c r="A58" s="3" t="inlineStr">
        <is>
          <t>강남피부과</t>
        </is>
      </c>
      <c r="B58" s="7">
        <f>IFERROR(AVERAGE(월별지수!G58,월별지수!S58,월별지수!AE58)/키워드지표!$C58*100,"")</f>
        <v>90.10331653</v>
      </c>
      <c r="C58" s="7">
        <f>IFERROR(AVERAGE(월별지수!H58,월별지수!T58,월별지수!AF58)/키워드지표!$C58*100,"")</f>
        <v>97.6164777</v>
      </c>
      <c r="D58" s="7">
        <f>IFERROR(AVERAGE(월별지수!I58,월별지수!U58,월별지수!AG58)/키워드지표!$C58*100,"")</f>
        <v>94.31055707</v>
      </c>
      <c r="E58" s="7">
        <f>IFERROR(AVERAGE(월별지수!J58,월별지수!V58,월별지수!AH58)/키워드지표!$C58*100,"")</f>
        <v>98.99904709</v>
      </c>
      <c r="F58" s="7">
        <f>IFERROR(AVERAGE(월별지수!K58,월별지수!W58,월별지수!AI58)/키워드지표!$C58*100,"")</f>
        <v>124.4243892</v>
      </c>
      <c r="G58" s="7">
        <f>IFERROR(AVERAGE(월별지수!L58,월별지수!X58,월별지수!AJ58)/키워드지표!$C58*100,"")</f>
        <v>120.5528606</v>
      </c>
      <c r="H58" s="7">
        <f>IFERROR(AVERAGE(월별지수!M58,월별지수!Y58,월별지수!AK58)/키워드지표!$C58*100,"")</f>
        <v>108.9184641</v>
      </c>
      <c r="I58" s="7">
        <f>IFERROR(AVERAGE(월별지수!N58,월별지수!Z58,월별지수!AL58)/키워드지표!$C58*100,"")</f>
        <v>100.7404826</v>
      </c>
      <c r="J58" s="7">
        <f>IFERROR(AVERAGE(월별지수!C58,월별지수!O58,월별지수!AA58)/키워드지표!$C58*100,"")</f>
        <v>88.83651855</v>
      </c>
      <c r="K58" s="7">
        <f>IFERROR(AVERAGE(월별지수!D58,월별지수!P58,월별지수!AB58)/키워드지표!$C58*100,"")</f>
        <v>97.7041296</v>
      </c>
      <c r="L58" s="7">
        <f>IFERROR(AVERAGE(월별지수!E58,월별지수!Q58,월별지수!AC58)/키워드지표!$C58*100,"")</f>
        <v>93.81111014</v>
      </c>
      <c r="M58" s="7">
        <f>IFERROR(AVERAGE(월별지수!F58,월별지수!R58,월별지수!AD58)/키워드지표!$C58*100,"")</f>
        <v>83.98264681</v>
      </c>
    </row>
    <row r="59">
      <c r="A59" s="3" t="inlineStr">
        <is>
          <t>강남치과</t>
        </is>
      </c>
      <c r="B59" s="7">
        <f>IFERROR(AVERAGE(월별지수!G59,월별지수!S59,월별지수!AE59)/키워드지표!$C59*100,"")</f>
        <v>60.22280141</v>
      </c>
      <c r="C59" s="7">
        <f>IFERROR(AVERAGE(월별지수!H59,월별지수!T59,월별지수!AF59)/키워드지표!$C59*100,"")</f>
        <v>69.77337461</v>
      </c>
      <c r="D59" s="7">
        <f>IFERROR(AVERAGE(월별지수!I59,월별지수!U59,월별지수!AG59)/키워드지표!$C59*100,"")</f>
        <v>67.01535643</v>
      </c>
      <c r="E59" s="7">
        <f>IFERROR(AVERAGE(월별지수!J59,월별지수!V59,월별지수!AH59)/키워드지표!$C59*100,"")</f>
        <v>109.5309914</v>
      </c>
      <c r="F59" s="7">
        <f>IFERROR(AVERAGE(월별지수!K59,월별지수!W59,월별지수!AI59)/키워드지표!$C59*100,"")</f>
        <v>130.5491866</v>
      </c>
      <c r="G59" s="7">
        <f>IFERROR(AVERAGE(월별지수!L59,월별지수!X59,월별지수!AJ59)/키워드지표!$C59*100,"")</f>
        <v>113.5747285</v>
      </c>
      <c r="H59" s="7">
        <f>IFERROR(AVERAGE(월별지수!M59,월별지수!Y59,월별지수!AK59)/키워드지표!$C59*100,"")</f>
        <v>167.9635227</v>
      </c>
      <c r="I59" s="7">
        <f>IFERROR(AVERAGE(월별지수!N59,월별지수!Z59,월별지수!AL59)/키워드지표!$C59*100,"")</f>
        <v>130.5630221</v>
      </c>
      <c r="J59" s="7">
        <f>IFERROR(AVERAGE(월별지수!C59,월별지수!O59,월별지수!AA59)/키워드지표!$C59*100,"")</f>
        <v>73.48071692</v>
      </c>
      <c r="K59" s="7">
        <f>IFERROR(AVERAGE(월별지수!D59,월별지수!P59,월별지수!AB59)/키워드지표!$C59*100,"")</f>
        <v>87.78239385</v>
      </c>
      <c r="L59" s="7">
        <f>IFERROR(AVERAGE(월별지수!E59,월별지수!Q59,월별지수!AC59)/키워드지표!$C59*100,"")</f>
        <v>118.3212321</v>
      </c>
      <c r="M59" s="7">
        <f>IFERROR(AVERAGE(월별지수!F59,월별지수!R59,월별지수!AD59)/키워드지표!$C59*100,"")</f>
        <v>71.22267323</v>
      </c>
    </row>
    <row r="60">
      <c r="A60" s="3" t="inlineStr">
        <is>
          <t>부평치과</t>
        </is>
      </c>
      <c r="B60" s="7">
        <f>IFERROR(AVERAGE(월별지수!G60,월별지수!S60,월별지수!AE60)/키워드지표!$C60*100,"")</f>
        <v>76.93562651</v>
      </c>
      <c r="C60" s="7">
        <f>IFERROR(AVERAGE(월별지수!H60,월별지수!T60,월별지수!AF60)/키워드지표!$C60*100,"")</f>
        <v>62.97315466</v>
      </c>
      <c r="D60" s="7">
        <f>IFERROR(AVERAGE(월별지수!I60,월별지수!U60,월별지수!AG60)/키워드지표!$C60*100,"")</f>
        <v>79.44934624</v>
      </c>
      <c r="E60" s="7">
        <f>IFERROR(AVERAGE(월별지수!J60,월별지수!V60,월별지수!AH60)/키워드지표!$C60*100,"")</f>
        <v>80.79978137</v>
      </c>
      <c r="F60" s="7">
        <f>IFERROR(AVERAGE(월별지수!K60,월별지수!W60,월별지수!AI60)/키워드지표!$C60*100,"")</f>
        <v>137.9733924</v>
      </c>
      <c r="G60" s="7">
        <f>IFERROR(AVERAGE(월별지수!L60,월별지수!X60,월별지수!AJ60)/키워드지표!$C60*100,"")</f>
        <v>117.151695</v>
      </c>
      <c r="H60" s="7">
        <f>IFERROR(AVERAGE(월별지수!M60,월별지수!Y60,월별지수!AK60)/키워드지표!$C60*100,"")</f>
        <v>102.4103774</v>
      </c>
      <c r="I60" s="7">
        <f>IFERROR(AVERAGE(월별지수!N60,월별지수!Z60,월별지수!AL60)/키워드지표!$C60*100,"")</f>
        <v>108.10299</v>
      </c>
      <c r="J60" s="7">
        <f>IFERROR(AVERAGE(월별지수!C60,월별지수!O60,월별지수!AA60)/키워드지표!$C60*100,"")</f>
        <v>104.7268597</v>
      </c>
      <c r="K60" s="7">
        <f>IFERROR(AVERAGE(월별지수!D60,월별지수!P60,월별지수!AB60)/키워드지표!$C60*100,"")</f>
        <v>131.4350618</v>
      </c>
      <c r="L60" s="7">
        <f>IFERROR(AVERAGE(월별지수!E60,월별지수!Q60,월별지수!AC60)/키워드지표!$C60*100,"")</f>
        <v>116.305977</v>
      </c>
      <c r="M60" s="7">
        <f>IFERROR(AVERAGE(월별지수!F60,월별지수!R60,월별지수!AD60)/키워드지표!$C60*100,"")</f>
        <v>81.73573777</v>
      </c>
    </row>
    <row r="61">
      <c r="A61" s="3" t="inlineStr">
        <is>
          <t>서면피부과</t>
        </is>
      </c>
      <c r="B61" s="7">
        <f>IFERROR(AVERAGE(월별지수!G61,월별지수!S61,월별지수!AE61)/키워드지표!$C61*100,"")</f>
        <v>97.48898992</v>
      </c>
      <c r="C61" s="7">
        <f>IFERROR(AVERAGE(월별지수!H61,월별지수!T61,월별지수!AF61)/키워드지표!$C61*100,"")</f>
        <v>112.9962035</v>
      </c>
      <c r="D61" s="7">
        <f>IFERROR(AVERAGE(월별지수!I61,월별지수!U61,월별지수!AG61)/키워드지표!$C61*100,"")</f>
        <v>105.4931899</v>
      </c>
      <c r="E61" s="7">
        <f>IFERROR(AVERAGE(월별지수!J61,월별지수!V61,월별지수!AH61)/키워드지표!$C61*100,"")</f>
        <v>92.51293539</v>
      </c>
      <c r="F61" s="7">
        <f>IFERROR(AVERAGE(월별지수!K61,월별지수!W61,월별지수!AI61)/키워드지표!$C61*100,"")</f>
        <v>99.24390432</v>
      </c>
      <c r="G61" s="7">
        <f>IFERROR(AVERAGE(월별지수!L61,월별지수!X61,월별지수!AJ61)/키워드지표!$C61*100,"")</f>
        <v>104.3464934</v>
      </c>
      <c r="H61" s="7">
        <f>IFERROR(AVERAGE(월별지수!M61,월별지수!Y61,월별지수!AK61)/키워드지표!$C61*100,"")</f>
        <v>108.0704184</v>
      </c>
      <c r="I61" s="7">
        <f>IFERROR(AVERAGE(월별지수!N61,월별지수!Z61,월별지수!AL61)/키워드지표!$C61*100,"")</f>
        <v>104.4129947</v>
      </c>
      <c r="J61" s="7">
        <f>IFERROR(AVERAGE(월별지수!C61,월별지수!O61,월별지수!AA61)/키워드지표!$C61*100,"")</f>
        <v>97.98529847</v>
      </c>
      <c r="K61" s="7">
        <f>IFERROR(AVERAGE(월별지수!D61,월별지수!P61,월별지수!AB61)/키워드지표!$C61*100,"")</f>
        <v>105.1363685</v>
      </c>
      <c r="L61" s="7">
        <f>IFERROR(AVERAGE(월별지수!E61,월별지수!Q61,월별지수!AC61)/키워드지표!$C61*100,"")</f>
        <v>84.29625422</v>
      </c>
      <c r="M61" s="7">
        <f>IFERROR(AVERAGE(월별지수!F61,월별지수!R61,월별지수!AD61)/키워드지표!$C61*100,"")</f>
        <v>88.01694928</v>
      </c>
    </row>
    <row r="62">
      <c r="A62" s="3" t="inlineStr">
        <is>
          <t>피부과</t>
        </is>
      </c>
      <c r="B62" s="7">
        <f>IFERROR(AVERAGE(월별지수!G62,월별지수!S62,월별지수!AE62)/키워드지표!$C62*100,"")</f>
        <v>96.12083324</v>
      </c>
      <c r="C62" s="7">
        <f>IFERROR(AVERAGE(월별지수!H62,월별지수!T62,월별지수!AF62)/키워드지표!$C62*100,"")</f>
        <v>93.83301504</v>
      </c>
      <c r="D62" s="7">
        <f>IFERROR(AVERAGE(월별지수!I62,월별지수!U62,월별지수!AG62)/키워드지표!$C62*100,"")</f>
        <v>97.2181956</v>
      </c>
      <c r="E62" s="7">
        <f>IFERROR(AVERAGE(월별지수!J62,월별지수!V62,월별지수!AH62)/키워드지표!$C62*100,"")</f>
        <v>97.59994521</v>
      </c>
      <c r="F62" s="7">
        <f>IFERROR(AVERAGE(월별지수!K62,월별지수!W62,월별지수!AI62)/키워드지표!$C62*100,"")</f>
        <v>109.2717392</v>
      </c>
      <c r="G62" s="7">
        <f>IFERROR(AVERAGE(월별지수!L62,월별지수!X62,월별지수!AJ62)/키워드지표!$C62*100,"")</f>
        <v>104.4078423</v>
      </c>
      <c r="H62" s="7">
        <f>IFERROR(AVERAGE(월별지수!M62,월별지수!Y62,월별지수!AK62)/키워드지표!$C62*100,"")</f>
        <v>109.2153247</v>
      </c>
      <c r="I62" s="7">
        <f>IFERROR(AVERAGE(월별지수!N62,월별지수!Z62,월별지수!AL62)/키워드지표!$C62*100,"")</f>
        <v>112.8357889</v>
      </c>
      <c r="J62" s="7">
        <f>IFERROR(AVERAGE(월별지수!C62,월별지수!O62,월별지수!AA62)/키워드지표!$C62*100,"")</f>
        <v>103.0562046</v>
      </c>
      <c r="K62" s="7">
        <f>IFERROR(AVERAGE(월별지수!D62,월별지수!P62,월별지수!AB62)/키워드지표!$C62*100,"")</f>
        <v>105.8740938</v>
      </c>
      <c r="L62" s="7">
        <f>IFERROR(AVERAGE(월별지수!E62,월별지수!Q62,월별지수!AC62)/키워드지표!$C62*100,"")</f>
        <v>84.63622445</v>
      </c>
      <c r="M62" s="7">
        <f>IFERROR(AVERAGE(월별지수!F62,월별지수!R62,월별지수!AD62)/키워드지표!$C62*100,"")</f>
        <v>85.93079296</v>
      </c>
    </row>
    <row r="63">
      <c r="A63" s="3" t="inlineStr">
        <is>
          <t>치과</t>
        </is>
      </c>
      <c r="B63" s="7">
        <f>IFERROR(AVERAGE(월별지수!G63,월별지수!S63,월별지수!AE63)/키워드지표!$C63*100,"")</f>
        <v>100.7050556</v>
      </c>
      <c r="C63" s="7">
        <f>IFERROR(AVERAGE(월별지수!H63,월별지수!T63,월별지수!AF63)/키워드지표!$C63*100,"")</f>
        <v>99.42226027</v>
      </c>
      <c r="D63" s="7">
        <f>IFERROR(AVERAGE(월별지수!I63,월별지수!U63,월별지수!AG63)/키워드지표!$C63*100,"")</f>
        <v>100.9148396</v>
      </c>
      <c r="E63" s="7">
        <f>IFERROR(AVERAGE(월별지수!J63,월별지수!V63,월별지수!AH63)/키워드지표!$C63*100,"")</f>
        <v>94.09064186</v>
      </c>
      <c r="F63" s="7">
        <f>IFERROR(AVERAGE(월별지수!K63,월별지수!W63,월별지수!AI63)/키워드지표!$C63*100,"")</f>
        <v>104.2406131</v>
      </c>
      <c r="G63" s="7">
        <f>IFERROR(AVERAGE(월별지수!L63,월별지수!X63,월별지수!AJ63)/키워드지표!$C63*100,"")</f>
        <v>97.89647077</v>
      </c>
      <c r="H63" s="7">
        <f>IFERROR(AVERAGE(월별지수!M63,월별지수!Y63,월별지수!AK63)/키워드지표!$C63*100,"")</f>
        <v>100.4168187</v>
      </c>
      <c r="I63" s="7">
        <f>IFERROR(AVERAGE(월별지수!N63,월별지수!Z63,월별지수!AL63)/키워드지표!$C63*100,"")</f>
        <v>105.4158177</v>
      </c>
      <c r="J63" s="7">
        <f>IFERROR(AVERAGE(월별지수!C63,월별지수!O63,월별지수!AA63)/키워드지표!$C63*100,"")</f>
        <v>95.38830454</v>
      </c>
      <c r="K63" s="7">
        <f>IFERROR(AVERAGE(월별지수!D63,월별지수!P63,월별지수!AB63)/키워드지표!$C63*100,"")</f>
        <v>106.0071675</v>
      </c>
      <c r="L63" s="7">
        <f>IFERROR(AVERAGE(월별지수!E63,월별지수!Q63,월별지수!AC63)/키워드지표!$C63*100,"")</f>
        <v>92.19016726</v>
      </c>
      <c r="M63" s="7">
        <f>IFERROR(AVERAGE(월별지수!F63,월별지수!R63,월별지수!AD63)/키워드지표!$C63*100,"")</f>
        <v>103.311843</v>
      </c>
    </row>
    <row r="64">
      <c r="A64" s="3" t="inlineStr">
        <is>
          <t>한의원</t>
        </is>
      </c>
      <c r="B64" s="7">
        <f>IFERROR(AVERAGE(월별지수!G64,월별지수!S64,월별지수!AE64)/키워드지표!$C64*100,"")</f>
        <v>95.90515786</v>
      </c>
      <c r="C64" s="7">
        <f>IFERROR(AVERAGE(월별지수!H64,월별지수!T64,월별지수!AF64)/키워드지표!$C64*100,"")</f>
        <v>91.06914599</v>
      </c>
      <c r="D64" s="7">
        <f>IFERROR(AVERAGE(월별지수!I64,월별지수!U64,월별지수!AG64)/키워드지표!$C64*100,"")</f>
        <v>100.3312827</v>
      </c>
      <c r="E64" s="7">
        <f>IFERROR(AVERAGE(월별지수!J64,월별지수!V64,월별지수!AH64)/키워드지표!$C64*100,"")</f>
        <v>96.18777409</v>
      </c>
      <c r="F64" s="7">
        <f>IFERROR(AVERAGE(월별지수!K64,월별지수!W64,월별지수!AI64)/키워드지표!$C64*100,"")</f>
        <v>108.1985463</v>
      </c>
      <c r="G64" s="7">
        <f>IFERROR(AVERAGE(월별지수!L64,월별지수!X64,월별지수!AJ64)/키워드지표!$C64*100,"")</f>
        <v>101.3238676</v>
      </c>
      <c r="H64" s="7">
        <f>IFERROR(AVERAGE(월별지수!M64,월별지수!Y64,월별지수!AK64)/키워드지표!$C64*100,"")</f>
        <v>100.4806737</v>
      </c>
      <c r="I64" s="7">
        <f>IFERROR(AVERAGE(월별지수!N64,월별지수!Z64,월별지수!AL64)/키워드지표!$C64*100,"")</f>
        <v>105.8311795</v>
      </c>
      <c r="J64" s="7">
        <f>IFERROR(AVERAGE(월별지수!C64,월별지수!O64,월별지수!AA64)/키워드지표!$C64*100,"")</f>
        <v>104.8237416</v>
      </c>
      <c r="K64" s="7">
        <f>IFERROR(AVERAGE(월별지수!D64,월별지수!P64,월별지수!AB64)/키워드지표!$C64*100,"")</f>
        <v>114.5201003</v>
      </c>
      <c r="L64" s="7">
        <f>IFERROR(AVERAGE(월별지수!E64,월별지수!Q64,월별지수!AC64)/키워드지표!$C64*100,"")</f>
        <v>91.50373923</v>
      </c>
      <c r="M64" s="7">
        <f>IFERROR(AVERAGE(월별지수!F64,월별지수!R64,월별지수!AD64)/키워드지표!$C64*100,"")</f>
        <v>89.82479113</v>
      </c>
    </row>
    <row r="65">
      <c r="A65" s="3" t="inlineStr">
        <is>
          <t>내과</t>
        </is>
      </c>
      <c r="B65" s="7">
        <f>IFERROR(AVERAGE(월별지수!G65,월별지수!S65,월별지수!AE65)/키워드지표!$C65*100,"")</f>
        <v>121.1158032</v>
      </c>
      <c r="C65" s="7">
        <f>IFERROR(AVERAGE(월별지수!H65,월별지수!T65,월별지수!AF65)/키워드지표!$C65*100,"")</f>
        <v>94.68112456</v>
      </c>
      <c r="D65" s="7">
        <f>IFERROR(AVERAGE(월별지수!I65,월별지수!U65,월별지수!AG65)/키워드지표!$C65*100,"")</f>
        <v>94.89148129</v>
      </c>
      <c r="E65" s="7">
        <f>IFERROR(AVERAGE(월별지수!J65,월별지수!V65,월별지수!AH65)/키워드지표!$C65*100,"")</f>
        <v>89.9901201</v>
      </c>
      <c r="F65" s="7">
        <f>IFERROR(AVERAGE(월별지수!K65,월별지수!W65,월별지수!AI65)/키워드지표!$C65*100,"")</f>
        <v>92.9215343</v>
      </c>
      <c r="G65" s="7">
        <f>IFERROR(AVERAGE(월별지수!L65,월별지수!X65,월별지수!AJ65)/키워드지표!$C65*100,"")</f>
        <v>82.34656968</v>
      </c>
      <c r="H65" s="7">
        <f>IFERROR(AVERAGE(월별지수!M65,월별지수!Y65,월별지수!AK65)/키워드지표!$C65*100,"")</f>
        <v>85.03114813</v>
      </c>
      <c r="I65" s="7">
        <f>IFERROR(AVERAGE(월별지수!N65,월별지수!Z65,월별지수!AL65)/키워드지표!$C65*100,"")</f>
        <v>97.31067085</v>
      </c>
      <c r="J65" s="7">
        <f>IFERROR(AVERAGE(월별지수!C65,월별지수!O65,월별지수!AA65)/키워드지표!$C65*100,"")</f>
        <v>95.99139258</v>
      </c>
      <c r="K65" s="7">
        <f>IFERROR(AVERAGE(월별지수!D65,월별지수!P65,월별지수!AB65)/키워드지표!$C65*100,"")</f>
        <v>111.9790321</v>
      </c>
      <c r="L65" s="7">
        <f>IFERROR(AVERAGE(월별지수!E65,월별지수!Q65,월별지수!AC65)/키워드지표!$C65*100,"")</f>
        <v>109.6904163</v>
      </c>
      <c r="M65" s="7">
        <f>IFERROR(AVERAGE(월별지수!F65,월별지수!R65,월별지수!AD65)/키워드지표!$C65*100,"")</f>
        <v>124.050707</v>
      </c>
    </row>
    <row r="66">
      <c r="A66" s="3" t="inlineStr">
        <is>
          <t>정형외과</t>
        </is>
      </c>
      <c r="B66" s="7">
        <f>IFERROR(AVERAGE(월별지수!G66,월별지수!S66,월별지수!AE66)/키워드지표!$C66*100,"")</f>
        <v>89.91501601</v>
      </c>
      <c r="C66" s="7">
        <f>IFERROR(AVERAGE(월별지수!H66,월별지수!T66,월별지수!AF66)/키워드지표!$C66*100,"")</f>
        <v>84.71322793</v>
      </c>
      <c r="D66" s="7">
        <f>IFERROR(AVERAGE(월별지수!I66,월별지수!U66,월별지수!AG66)/키워드지표!$C66*100,"")</f>
        <v>99.59079776</v>
      </c>
      <c r="E66" s="7">
        <f>IFERROR(AVERAGE(월별지수!J66,월별지수!V66,월별지수!AH66)/키워드지표!$C66*100,"")</f>
        <v>101.0205078</v>
      </c>
      <c r="F66" s="7">
        <f>IFERROR(AVERAGE(월별지수!K66,월별지수!W66,월별지수!AI66)/키워드지표!$C66*100,"")</f>
        <v>115.2224422</v>
      </c>
      <c r="G66" s="7">
        <f>IFERROR(AVERAGE(월별지수!L66,월별지수!X66,월별지수!AJ66)/키워드지표!$C66*100,"")</f>
        <v>107.0639351</v>
      </c>
      <c r="H66" s="7">
        <f>IFERROR(AVERAGE(월별지수!M66,월별지수!Y66,월별지수!AK66)/키워드지표!$C66*100,"")</f>
        <v>101.1102179</v>
      </c>
      <c r="I66" s="7">
        <f>IFERROR(AVERAGE(월별지수!N66,월별지수!Z66,월별지수!AL66)/키워드지표!$C66*100,"")</f>
        <v>103.9041361</v>
      </c>
      <c r="J66" s="7">
        <f>IFERROR(AVERAGE(월별지수!C66,월별지수!O66,월별지수!AA66)/키워드지표!$C66*100,"")</f>
        <v>106.3905875</v>
      </c>
      <c r="K66" s="7">
        <f>IFERROR(AVERAGE(월별지수!D66,월별지수!P66,월별지수!AB66)/키워드지표!$C66*100,"")</f>
        <v>111.9405491</v>
      </c>
      <c r="L66" s="7">
        <f>IFERROR(AVERAGE(월별지수!E66,월별지수!Q66,월별지수!AC66)/키워드지표!$C66*100,"")</f>
        <v>91.3919294</v>
      </c>
      <c r="M66" s="7">
        <f>IFERROR(AVERAGE(월별지수!F66,월별지수!R66,월별지수!AD66)/키워드지표!$C66*100,"")</f>
        <v>87.73665316</v>
      </c>
    </row>
    <row r="67">
      <c r="A67" s="3" t="inlineStr">
        <is>
          <t>안과</t>
        </is>
      </c>
      <c r="B67" s="7">
        <f>IFERROR(AVERAGE(월별지수!G67,월별지수!S67,월별지수!AE67)/키워드지표!$C67*100,"")</f>
        <v>84.88618294</v>
      </c>
      <c r="C67" s="7">
        <f>IFERROR(AVERAGE(월별지수!H67,월별지수!T67,월별지수!AF67)/키워드지표!$C67*100,"")</f>
        <v>84.41515393</v>
      </c>
      <c r="D67" s="7">
        <f>IFERROR(AVERAGE(월별지수!I67,월별지수!U67,월별지수!AG67)/키워드지표!$C67*100,"")</f>
        <v>95.494354</v>
      </c>
      <c r="E67" s="7">
        <f>IFERROR(AVERAGE(월별지수!J67,월별지수!V67,월별지수!AH67)/키워드지표!$C67*100,"")</f>
        <v>116.9648593</v>
      </c>
      <c r="F67" s="7">
        <f>IFERROR(AVERAGE(월별지수!K67,월별지수!W67,월별지수!AI67)/키워드지표!$C67*100,"")</f>
        <v>115.2287831</v>
      </c>
      <c r="G67" s="7">
        <f>IFERROR(AVERAGE(월별지수!L67,월별지수!X67,월별지수!AJ67)/키워드지표!$C67*100,"")</f>
        <v>105.0412186</v>
      </c>
      <c r="H67" s="7">
        <f>IFERROR(AVERAGE(월별지수!M67,월별지수!Y67,월별지수!AK67)/키워드지표!$C67*100,"")</f>
        <v>104.35791</v>
      </c>
      <c r="I67" s="7">
        <f>IFERROR(AVERAGE(월별지수!N67,월별지수!Z67,월별지수!AL67)/키워드지표!$C67*100,"")</f>
        <v>111.4658036</v>
      </c>
      <c r="J67" s="7">
        <f>IFERROR(AVERAGE(월별지수!C67,월별지수!O67,월별지수!AA67)/키워드지표!$C67*100,"")</f>
        <v>107.2794802</v>
      </c>
      <c r="K67" s="7">
        <f>IFERROR(AVERAGE(월별지수!D67,월별지수!P67,월별지수!AB67)/키워드지표!$C67*100,"")</f>
        <v>106.2785591</v>
      </c>
      <c r="L67" s="7">
        <f>IFERROR(AVERAGE(월별지수!E67,월별지수!Q67,월별지수!AC67)/키워드지표!$C67*100,"")</f>
        <v>84.85432107</v>
      </c>
      <c r="M67" s="7">
        <f>IFERROR(AVERAGE(월별지수!F67,월별지수!R67,월별지수!AD67)/키워드지표!$C67*100,"")</f>
        <v>83.73337409</v>
      </c>
    </row>
    <row r="68">
      <c r="A68" s="3" t="inlineStr">
        <is>
          <t>성형외과</t>
        </is>
      </c>
      <c r="B68" s="7">
        <f>IFERROR(AVERAGE(월별지수!G68,월별지수!S68,월별지수!AE68)/키워드지표!$C68*100,"")</f>
        <v>120.9657022</v>
      </c>
      <c r="C68" s="7">
        <f>IFERROR(AVERAGE(월별지수!H68,월별지수!T68,월별지수!AF68)/키워드지표!$C68*100,"")</f>
        <v>102.2082892</v>
      </c>
      <c r="D68" s="7">
        <f>IFERROR(AVERAGE(월별지수!I68,월별지수!U68,월별지수!AG68)/키워드지표!$C68*100,"")</f>
        <v>97.38453574</v>
      </c>
      <c r="E68" s="7">
        <f>IFERROR(AVERAGE(월별지수!J68,월별지수!V68,월별지수!AH68)/키워드지표!$C68*100,"")</f>
        <v>95.0406691</v>
      </c>
      <c r="F68" s="7">
        <f>IFERROR(AVERAGE(월별지수!K68,월별지수!W68,월별지수!AI68)/키워드지표!$C68*100,"")</f>
        <v>96.28925241</v>
      </c>
      <c r="G68" s="7">
        <f>IFERROR(AVERAGE(월별지수!L68,월별지수!X68,월별지수!AJ68)/키워드지표!$C68*100,"")</f>
        <v>91.02573938</v>
      </c>
      <c r="H68" s="7">
        <f>IFERROR(AVERAGE(월별지수!M68,월별지수!Y68,월별지수!AK68)/키워드지표!$C68*100,"")</f>
        <v>91.37571399</v>
      </c>
      <c r="I68" s="7">
        <f>IFERROR(AVERAGE(월별지수!N68,월별지수!Z68,월별지수!AL68)/키워드지표!$C68*100,"")</f>
        <v>91.49994184</v>
      </c>
      <c r="J68" s="7">
        <f>IFERROR(AVERAGE(월별지수!C68,월별지수!O68,월별지수!AA68)/키워드지표!$C68*100,"")</f>
        <v>99.13184016</v>
      </c>
      <c r="K68" s="7">
        <f>IFERROR(AVERAGE(월별지수!D68,월별지수!P68,월별지수!AB68)/키워드지표!$C68*100,"")</f>
        <v>101.2073443</v>
      </c>
      <c r="L68" s="7">
        <f>IFERROR(AVERAGE(월별지수!E68,월별지수!Q68,월별지수!AC68)/키워드지표!$C68*100,"")</f>
        <v>100.1164977</v>
      </c>
      <c r="M68" s="7">
        <f>IFERROR(AVERAGE(월별지수!F68,월별지수!R68,월별지수!AD68)/키워드지표!$C68*100,"")</f>
        <v>113.754474</v>
      </c>
    </row>
    <row r="69">
      <c r="A69" s="3" t="inlineStr">
        <is>
          <t>병원</t>
        </is>
      </c>
      <c r="B69" s="7">
        <f>IFERROR(AVERAGE(월별지수!G69,월별지수!S69,월별지수!AE69)/키워드지표!$C69*100,"")</f>
        <v>112.5877741</v>
      </c>
      <c r="C69" s="7">
        <f>IFERROR(AVERAGE(월별지수!H69,월별지수!T69,월별지수!AF69)/키워드지표!$C69*100,"")</f>
        <v>88.97311945</v>
      </c>
      <c r="D69" s="7">
        <f>IFERROR(AVERAGE(월별지수!I69,월별지수!U69,월별지수!AG69)/키워드지표!$C69*100,"")</f>
        <v>98.31117971</v>
      </c>
      <c r="E69" s="7">
        <f>IFERROR(AVERAGE(월별지수!J69,월별지수!V69,월별지수!AH69)/키워드지표!$C69*100,"")</f>
        <v>95.76928263</v>
      </c>
      <c r="F69" s="7">
        <f>IFERROR(AVERAGE(월별지수!K69,월별지수!W69,월별지수!AI69)/키워드지표!$C69*100,"")</f>
        <v>98.79708786</v>
      </c>
      <c r="G69" s="7">
        <f>IFERROR(AVERAGE(월별지수!L69,월별지수!X69,월별지수!AJ69)/키워드지표!$C69*100,"")</f>
        <v>82.62943874</v>
      </c>
      <c r="H69" s="7">
        <f>IFERROR(AVERAGE(월별지수!M69,월별지수!Y69,월별지수!AK69)/키워드지표!$C69*100,"")</f>
        <v>73.36865808</v>
      </c>
      <c r="I69" s="7">
        <f>IFERROR(AVERAGE(월별지수!N69,월별지수!Z69,월별지수!AL69)/키워드지표!$C69*100,"")</f>
        <v>87.82145632</v>
      </c>
      <c r="J69" s="7">
        <f>IFERROR(AVERAGE(월별지수!C69,월별지수!O69,월별지수!AA69)/키워드지표!$C69*100,"")</f>
        <v>105.4315977</v>
      </c>
      <c r="K69" s="7">
        <f>IFERROR(AVERAGE(월별지수!D69,월별지수!P69,월별지수!AB69)/키워드지표!$C69*100,"")</f>
        <v>125.5550464</v>
      </c>
      <c r="L69" s="7">
        <f>IFERROR(AVERAGE(월별지수!E69,월별지수!Q69,월별지수!AC69)/키워드지표!$C69*100,"")</f>
        <v>110.4174688</v>
      </c>
      <c r="M69" s="7">
        <f>IFERROR(AVERAGE(월별지수!F69,월별지수!R69,월별지수!AD69)/키워드지표!$C69*100,"")</f>
        <v>120.3378903</v>
      </c>
    </row>
    <row r="70">
      <c r="A70" s="3" t="inlineStr">
        <is>
          <t>임플란트</t>
        </is>
      </c>
      <c r="B70" s="7">
        <f>IFERROR(AVERAGE(월별지수!G70,월별지수!S70,월별지수!AE70)/키워드지표!$C70*100,"")</f>
        <v>126.952614</v>
      </c>
      <c r="C70" s="7">
        <f>IFERROR(AVERAGE(월별지수!H70,월별지수!T70,월별지수!AF70)/키워드지표!$C70*100,"")</f>
        <v>102.1396336</v>
      </c>
      <c r="D70" s="7">
        <f>IFERROR(AVERAGE(월별지수!I70,월별지수!U70,월별지수!AG70)/키워드지표!$C70*100,"")</f>
        <v>106.7346689</v>
      </c>
      <c r="E70" s="7">
        <f>IFERROR(AVERAGE(월별지수!J70,월별지수!V70,월별지수!AH70)/키워드지표!$C70*100,"")</f>
        <v>94.1943401</v>
      </c>
      <c r="F70" s="7">
        <f>IFERROR(AVERAGE(월별지수!K70,월별지수!W70,월별지수!AI70)/키워드지표!$C70*100,"")</f>
        <v>91.91289417</v>
      </c>
      <c r="G70" s="7">
        <f>IFERROR(AVERAGE(월별지수!L70,월별지수!X70,월별지수!AJ70)/키워드지표!$C70*100,"")</f>
        <v>88.64587234</v>
      </c>
      <c r="H70" s="7">
        <f>IFERROR(AVERAGE(월별지수!M70,월별지수!Y70,월별지수!AK70)/키워드지표!$C70*100,"")</f>
        <v>90.2453325</v>
      </c>
      <c r="I70" s="7">
        <f>IFERROR(AVERAGE(월별지수!N70,월별지수!Z70,월별지수!AL70)/키워드지표!$C70*100,"")</f>
        <v>88.25711584</v>
      </c>
      <c r="J70" s="7">
        <f>IFERROR(AVERAGE(월별지수!C70,월별지수!O70,월별지수!AA70)/키워드지표!$C70*100,"")</f>
        <v>98.55006071</v>
      </c>
      <c r="K70" s="7">
        <f>IFERROR(AVERAGE(월별지수!D70,월별지수!P70,월별지수!AB70)/키워드지표!$C70*100,"")</f>
        <v>99.87994766</v>
      </c>
      <c r="L70" s="7">
        <f>IFERROR(AVERAGE(월별지수!E70,월별지수!Q70,월별지수!AC70)/키워드지표!$C70*100,"")</f>
        <v>102.5028492</v>
      </c>
      <c r="M70" s="7">
        <f>IFERROR(AVERAGE(월별지수!F70,월별지수!R70,월별지수!AD70)/키워드지표!$C70*100,"")</f>
        <v>109.984671</v>
      </c>
    </row>
    <row r="71">
      <c r="A71" s="3" t="inlineStr">
        <is>
          <t>라식</t>
        </is>
      </c>
      <c r="B71" s="7">
        <f>IFERROR(AVERAGE(월별지수!G71,월별지수!S71,월별지수!AE71)/키워드지표!$C71*100,"")</f>
        <v>137.8927411</v>
      </c>
      <c r="C71" s="7">
        <f>IFERROR(AVERAGE(월별지수!H71,월별지수!T71,월별지수!AF71)/키워드지표!$C71*100,"")</f>
        <v>113.6893021</v>
      </c>
      <c r="D71" s="7">
        <f>IFERROR(AVERAGE(월별지수!I71,월별지수!U71,월별지수!AG71)/키워드지표!$C71*100,"")</f>
        <v>98.6118246</v>
      </c>
      <c r="E71" s="7">
        <f>IFERROR(AVERAGE(월별지수!J71,월별지수!V71,월별지수!AH71)/키워드지표!$C71*100,"")</f>
        <v>82.05591114</v>
      </c>
      <c r="F71" s="7">
        <f>IFERROR(AVERAGE(월별지수!K71,월별지수!W71,월별지수!AI71)/키워드지표!$C71*100,"")</f>
        <v>79.76500422</v>
      </c>
      <c r="G71" s="7">
        <f>IFERROR(AVERAGE(월별지수!L71,월별지수!X71,월별지수!AJ71)/키워드지표!$C71*100,"")</f>
        <v>81.32112992</v>
      </c>
      <c r="H71" s="7">
        <f>IFERROR(AVERAGE(월별지수!M71,월별지수!Y71,월별지수!AK71)/키워드지표!$C71*100,"")</f>
        <v>87.91418882</v>
      </c>
      <c r="I71" s="7">
        <f>IFERROR(AVERAGE(월별지수!N71,월별지수!Z71,월별지수!AL71)/키워드지표!$C71*100,"")</f>
        <v>87.54791071</v>
      </c>
      <c r="J71" s="7">
        <f>IFERROR(AVERAGE(월별지수!C71,월별지수!O71,월별지수!AA71)/키워드지표!$C71*100,"")</f>
        <v>98.76942908</v>
      </c>
      <c r="K71" s="7">
        <f>IFERROR(AVERAGE(월별지수!D71,월별지수!P71,월별지수!AB71)/키워드지표!$C71*100,"")</f>
        <v>94.26750349</v>
      </c>
      <c r="L71" s="7">
        <f>IFERROR(AVERAGE(월별지수!E71,월별지수!Q71,월별지수!AC71)/키워드지표!$C71*100,"")</f>
        <v>112.5438486</v>
      </c>
      <c r="M71" s="7">
        <f>IFERROR(AVERAGE(월별지수!F71,월별지수!R71,월별지수!AD71)/키워드지표!$C71*100,"")</f>
        <v>125.6212061</v>
      </c>
    </row>
    <row r="72">
      <c r="A72" s="3" t="inlineStr">
        <is>
          <t>도수치료</t>
        </is>
      </c>
      <c r="B72" s="7">
        <f>IFERROR(AVERAGE(월별지수!G72,월별지수!S72,월별지수!AE72)/키워드지표!$C72*100,"")</f>
        <v>126.1911362</v>
      </c>
      <c r="C72" s="7">
        <f>IFERROR(AVERAGE(월별지수!H72,월별지수!T72,월별지수!AF72)/키워드지표!$C72*100,"")</f>
        <v>90.30723443</v>
      </c>
      <c r="D72" s="7">
        <f>IFERROR(AVERAGE(월별지수!I72,월별지수!U72,월별지수!AG72)/키워드지표!$C72*100,"")</f>
        <v>89.60614708</v>
      </c>
      <c r="E72" s="7">
        <f>IFERROR(AVERAGE(월별지수!J72,월별지수!V72,월별지수!AH72)/키워드지표!$C72*100,"")</f>
        <v>94.83784814</v>
      </c>
      <c r="F72" s="7">
        <f>IFERROR(AVERAGE(월별지수!K72,월별지수!W72,월별지수!AI72)/키워드지표!$C72*100,"")</f>
        <v>92.32439056</v>
      </c>
      <c r="G72" s="7">
        <f>IFERROR(AVERAGE(월별지수!L72,월별지수!X72,월별지수!AJ72)/키워드지표!$C72*100,"")</f>
        <v>131.8496464</v>
      </c>
      <c r="H72" s="7">
        <f>IFERROR(AVERAGE(월별지수!M72,월별지수!Y72,월별지수!AK72)/키워드지표!$C72*100,"")</f>
        <v>115.3009397</v>
      </c>
      <c r="I72" s="7">
        <f>IFERROR(AVERAGE(월별지수!N72,월별지수!Z72,월별지수!AL72)/키워드지표!$C72*100,"")</f>
        <v>83.11556349</v>
      </c>
      <c r="J72" s="7">
        <f>IFERROR(AVERAGE(월별지수!C72,월별지수!O72,월별지수!AA72)/키워드지표!$C72*100,"")</f>
        <v>93.78744259</v>
      </c>
      <c r="K72" s="7">
        <f>IFERROR(AVERAGE(월별지수!D72,월별지수!P72,월별지수!AB72)/키워드지표!$C72*100,"")</f>
        <v>84.93347403</v>
      </c>
      <c r="L72" s="7">
        <f>IFERROR(AVERAGE(월별지수!E72,월별지수!Q72,월별지수!AC72)/키워드지표!$C72*100,"")</f>
        <v>88.60556027</v>
      </c>
      <c r="M72" s="7">
        <f>IFERROR(AVERAGE(월별지수!F72,월별지수!R72,월별지수!AD72)/키워드지표!$C72*100,"")</f>
        <v>109.1406171</v>
      </c>
    </row>
    <row r="73">
      <c r="A73" s="3" t="inlineStr">
        <is>
          <t>여드름치료</t>
        </is>
      </c>
      <c r="B73" s="7">
        <f>IFERROR(AVERAGE(월별지수!G73,월별지수!S73,월별지수!AE73)/키워드지표!$C73*100,"")</f>
        <v>132.7638276</v>
      </c>
      <c r="C73" s="7">
        <f>IFERROR(AVERAGE(월별지수!H73,월별지수!T73,월별지수!AF73)/키워드지표!$C73*100,"")</f>
        <v>113.3991205</v>
      </c>
      <c r="D73" s="7">
        <f>IFERROR(AVERAGE(월별지수!I73,월별지수!U73,월별지수!AG73)/키워드지표!$C73*100,"")</f>
        <v>92.84897405</v>
      </c>
      <c r="E73" s="7">
        <f>IFERROR(AVERAGE(월별지수!J73,월별지수!V73,월별지수!AH73)/키워드지표!$C73*100,"")</f>
        <v>91.22420182</v>
      </c>
      <c r="F73" s="7">
        <f>IFERROR(AVERAGE(월별지수!K73,월별지수!W73,월별지수!AI73)/키워드지표!$C73*100,"")</f>
        <v>78.83040152</v>
      </c>
      <c r="G73" s="7">
        <f>IFERROR(AVERAGE(월별지수!L73,월별지수!X73,월별지수!AJ73)/키워드지표!$C73*100,"")</f>
        <v>78.30356873</v>
      </c>
      <c r="H73" s="7">
        <f>IFERROR(AVERAGE(월별지수!M73,월별지수!Y73,월별지수!AK73)/키워드지표!$C73*100,"")</f>
        <v>94.74803467</v>
      </c>
      <c r="I73" s="7">
        <f>IFERROR(AVERAGE(월별지수!N73,월별지수!Z73,월별지수!AL73)/키워드지표!$C73*100,"")</f>
        <v>93.82601179</v>
      </c>
      <c r="J73" s="7">
        <f>IFERROR(AVERAGE(월별지수!C73,월별지수!O73,월별지수!AA73)/키워드지표!$C73*100,"")</f>
        <v>105.9782707</v>
      </c>
      <c r="K73" s="7">
        <f>IFERROR(AVERAGE(월별지수!D73,월별지수!P73,월별지수!AB73)/키워드지표!$C73*100,"")</f>
        <v>110.2924837</v>
      </c>
      <c r="L73" s="7">
        <f>IFERROR(AVERAGE(월별지수!E73,월별지수!Q73,월별지수!AC73)/키워드지표!$C73*100,"")</f>
        <v>100.643139</v>
      </c>
      <c r="M73" s="7">
        <f>IFERROR(AVERAGE(월별지수!F73,월별지수!R73,월별지수!AD73)/키워드지표!$C73*100,"")</f>
        <v>107.141966</v>
      </c>
    </row>
    <row r="74">
      <c r="A74" s="3" t="inlineStr">
        <is>
          <t>날씨</t>
        </is>
      </c>
      <c r="B74" s="7">
        <f>IFERROR(AVERAGE(월별지수!G74,월별지수!S74,월별지수!AE74)/키워드지표!$C74*100,"")</f>
        <v>84.18557507</v>
      </c>
      <c r="C74" s="7">
        <f>IFERROR(AVERAGE(월별지수!H74,월별지수!T74,월별지수!AF74)/키워드지표!$C74*100,"")</f>
        <v>81.56836982</v>
      </c>
      <c r="D74" s="7">
        <f>IFERROR(AVERAGE(월별지수!I74,월별지수!U74,월별지수!AG74)/키워드지표!$C74*100,"")</f>
        <v>101.7373308</v>
      </c>
      <c r="E74" s="7">
        <f>IFERROR(AVERAGE(월별지수!J74,월별지수!V74,월별지수!AH74)/키워드지표!$C74*100,"")</f>
        <v>104.081858</v>
      </c>
      <c r="F74" s="7">
        <f>IFERROR(AVERAGE(월별지수!K74,월별지수!W74,월별지수!AI74)/키워드지표!$C74*100,"")</f>
        <v>103.1024058</v>
      </c>
      <c r="G74" s="7">
        <f>IFERROR(AVERAGE(월별지수!L74,월별지수!X74,월별지수!AJ74)/키워드지표!$C74*100,"")</f>
        <v>98.37307643</v>
      </c>
      <c r="H74" s="7">
        <f>IFERROR(AVERAGE(월별지수!M74,월별지수!Y74,월별지수!AK74)/키워드지표!$C74*100,"")</f>
        <v>146.3761639</v>
      </c>
      <c r="I74" s="7">
        <f>IFERROR(AVERAGE(월별지수!N74,월별지수!Z74,월별지수!AL74)/키워드지표!$C74*100,"")</f>
        <v>108.8578951</v>
      </c>
      <c r="J74" s="7">
        <f>IFERROR(AVERAGE(월별지수!C74,월별지수!O74,월별지수!AA74)/키워드지표!$C74*100,"")</f>
        <v>105.4274163</v>
      </c>
      <c r="K74" s="7">
        <f>IFERROR(AVERAGE(월별지수!D74,월별지수!P74,월별지수!AB74)/키워드지표!$C74*100,"")</f>
        <v>89.02255806</v>
      </c>
      <c r="L74" s="7">
        <f>IFERROR(AVERAGE(월별지수!E74,월별지수!Q74,월별지수!AC74)/키워드지표!$C74*100,"")</f>
        <v>88.95693264</v>
      </c>
      <c r="M74" s="7">
        <f>IFERROR(AVERAGE(월별지수!F74,월별지수!R74,월별지수!AD74)/키워드지표!$C74*100,"")</f>
        <v>88.31041802</v>
      </c>
    </row>
    <row r="75">
      <c r="A75" s="3" t="inlineStr">
        <is>
          <t>지하철</t>
        </is>
      </c>
      <c r="B75" s="7">
        <f>IFERROR(AVERAGE(월별지수!G75,월별지수!S75,월별지수!AE75)/키워드지표!$C75*100,"")</f>
        <v>91.10695534</v>
      </c>
      <c r="C75" s="7">
        <f>IFERROR(AVERAGE(월별지수!H75,월별지수!T75,월별지수!AF75)/키워드지표!$C75*100,"")</f>
        <v>88.70876247</v>
      </c>
      <c r="D75" s="7">
        <f>IFERROR(AVERAGE(월별지수!I75,월별지수!U75,월별지수!AG75)/키워드지표!$C75*100,"")</f>
        <v>101.0992805</v>
      </c>
      <c r="E75" s="7">
        <f>IFERROR(AVERAGE(월별지수!J75,월별지수!V75,월별지수!AH75)/키워드지표!$C75*100,"")</f>
        <v>94.04049798</v>
      </c>
      <c r="F75" s="7">
        <f>IFERROR(AVERAGE(월별지수!K75,월별지수!W75,월별지수!AI75)/키워드지표!$C75*100,"")</f>
        <v>99.04841216</v>
      </c>
      <c r="G75" s="7">
        <f>IFERROR(AVERAGE(월별지수!L75,월별지수!X75,월별지수!AJ75)/키워드지표!$C75*100,"")</f>
        <v>87.67549389</v>
      </c>
      <c r="H75" s="7">
        <f>IFERROR(AVERAGE(월별지수!M75,월별지수!Y75,월별지수!AK75)/키워드지표!$C75*100,"")</f>
        <v>95.28616549</v>
      </c>
      <c r="I75" s="7">
        <f>IFERROR(AVERAGE(월별지수!N75,월별지수!Z75,월별지수!AL75)/키워드지표!$C75*100,"")</f>
        <v>85.01006138</v>
      </c>
      <c r="J75" s="7">
        <f>IFERROR(AVERAGE(월별지수!C75,월별지수!O75,월별지수!AA75)/키워드지표!$C75*100,"")</f>
        <v>102.1926128</v>
      </c>
      <c r="K75" s="7">
        <f>IFERROR(AVERAGE(월별지수!D75,월별지수!P75,월별지수!AB75)/키워드지표!$C75*100,"")</f>
        <v>106.0097001</v>
      </c>
      <c r="L75" s="7">
        <f>IFERROR(AVERAGE(월별지수!E75,월별지수!Q75,월별지수!AC75)/키워드지표!$C75*100,"")</f>
        <v>129.8201428</v>
      </c>
      <c r="M75" s="7">
        <f>IFERROR(AVERAGE(월별지수!F75,월별지수!R75,월별지수!AD75)/키워드지표!$C75*100,"")</f>
        <v>120.0019151</v>
      </c>
    </row>
    <row r="76">
      <c r="A76" s="3" t="inlineStr">
        <is>
          <t>환율</t>
        </is>
      </c>
      <c r="B76" s="7">
        <f>IFERROR(AVERAGE(월별지수!G76,월별지수!S76,월별지수!AE76)/키워드지표!$C76*100,"")</f>
        <v>114.6293127</v>
      </c>
      <c r="C76" s="7">
        <f>IFERROR(AVERAGE(월별지수!H76,월별지수!T76,월별지수!AF76)/키워드지표!$C76*100,"")</f>
        <v>79.56921055</v>
      </c>
      <c r="D76" s="7">
        <f>IFERROR(AVERAGE(월별지수!I76,월별지수!U76,월별지수!AG76)/키워드지표!$C76*100,"")</f>
        <v>114.812711</v>
      </c>
      <c r="E76" s="7">
        <f>IFERROR(AVERAGE(월별지수!J76,월별지수!V76,월별지수!AH76)/키워드지표!$C76*100,"")</f>
        <v>114.2597182</v>
      </c>
      <c r="F76" s="7">
        <f>IFERROR(AVERAGE(월별지수!K76,월별지수!W76,월별지수!AI76)/키워드지표!$C76*100,"")</f>
        <v>96.98705986</v>
      </c>
      <c r="G76" s="7">
        <f>IFERROR(AVERAGE(월별지수!L76,월별지수!X76,월별지수!AJ76)/키워드지표!$C76*100,"")</f>
        <v>100.3767356</v>
      </c>
      <c r="H76" s="7">
        <f>IFERROR(AVERAGE(월별지수!M76,월별지수!Y76,월별지수!AK76)/키워드지표!$C76*100,"")</f>
        <v>95.27408317</v>
      </c>
      <c r="I76" s="7">
        <f>IFERROR(AVERAGE(월별지수!N76,월별지수!Z76,월별지수!AL76)/키워드지표!$C76*100,"")</f>
        <v>91.11707749</v>
      </c>
      <c r="J76" s="7">
        <f>IFERROR(AVERAGE(월별지수!C76,월별지수!O76,월별지수!AA76)/키워드지표!$C76*100,"")</f>
        <v>71.35137673</v>
      </c>
      <c r="K76" s="7">
        <f>IFERROR(AVERAGE(월별지수!D76,월별지수!P76,월별지수!AB76)/키워드지표!$C76*100,"")</f>
        <v>85.65656931</v>
      </c>
      <c r="L76" s="7">
        <f>IFERROR(AVERAGE(월별지수!E76,월별지수!Q76,월별지수!AC76)/키워드지표!$C76*100,"")</f>
        <v>102.9754752</v>
      </c>
      <c r="M76" s="7">
        <f>IFERROR(AVERAGE(월별지수!F76,월별지수!R76,월별지수!AD76)/키워드지표!$C76*100,"")</f>
        <v>132.9906701</v>
      </c>
    </row>
    <row r="77">
      <c r="A77" s="3" t="inlineStr">
        <is>
          <t>로또</t>
        </is>
      </c>
      <c r="B77" s="7">
        <f>IFERROR(AVERAGE(월별지수!G77,월별지수!S77,월별지수!AE77)/키워드지표!$C77*100,"")</f>
        <v>107.9513865</v>
      </c>
      <c r="C77" s="7">
        <f>IFERROR(AVERAGE(월별지수!H77,월별지수!T77,월별지수!AF77)/키워드지표!$C77*100,"")</f>
        <v>103.6314643</v>
      </c>
      <c r="D77" s="7">
        <f>IFERROR(AVERAGE(월별지수!I77,월별지수!U77,월별지수!AG77)/키워드지표!$C77*100,"")</f>
        <v>118.5021189</v>
      </c>
      <c r="E77" s="7">
        <f>IFERROR(AVERAGE(월별지수!J77,월별지수!V77,월별지수!AH77)/키워드지표!$C77*100,"")</f>
        <v>95.76484903</v>
      </c>
      <c r="F77" s="7">
        <f>IFERROR(AVERAGE(월별지수!K77,월별지수!W77,월별지수!AI77)/키워드지표!$C77*100,"")</f>
        <v>103.7543968</v>
      </c>
      <c r="G77" s="7">
        <f>IFERROR(AVERAGE(월별지수!L77,월별지수!X77,월별지수!AJ77)/키워드지표!$C77*100,"")</f>
        <v>101.1669829</v>
      </c>
      <c r="H77" s="7">
        <f>IFERROR(AVERAGE(월별지수!M77,월별지수!Y77,월별지수!AK77)/키워드지표!$C77*100,"")</f>
        <v>96.27338252</v>
      </c>
      <c r="I77" s="7">
        <f>IFERROR(AVERAGE(월별지수!N77,월별지수!Z77,월별지수!AL77)/키워드지표!$C77*100,"")</f>
        <v>109.447999</v>
      </c>
      <c r="J77" s="7">
        <f>IFERROR(AVERAGE(월별지수!C77,월별지수!O77,월별지수!AA77)/키워드지표!$C77*100,"")</f>
        <v>77.39126553</v>
      </c>
      <c r="K77" s="7">
        <f>IFERROR(AVERAGE(월별지수!D77,월별지수!P77,월별지수!AB77)/키워드지표!$C77*100,"")</f>
        <v>78.58198881</v>
      </c>
      <c r="L77" s="7">
        <f>IFERROR(AVERAGE(월별지수!E77,월별지수!Q77,월별지수!AC77)/키워드지표!$C77*100,"")</f>
        <v>102.425923</v>
      </c>
      <c r="M77" s="7">
        <f>IFERROR(AVERAGE(월별지수!F77,월별지수!R77,월별지수!AD77)/키워드지표!$C77*100,"")</f>
        <v>105.1082428</v>
      </c>
    </row>
    <row r="78">
      <c r="A78" s="3" t="inlineStr">
        <is>
          <t>서울산부인과</t>
        </is>
      </c>
      <c r="B78" s="7">
        <f>IFERROR(AVERAGE(월별지수!G78,월별지수!S78,월별지수!AE78)/키워드지표!$C78*100,"")</f>
        <v>99.63816034</v>
      </c>
      <c r="C78" s="7">
        <f>IFERROR(AVERAGE(월별지수!H78,월별지수!T78,월별지수!AF78)/키워드지표!$C78*100,"")</f>
        <v>96.6934777</v>
      </c>
      <c r="D78" s="7">
        <f>IFERROR(AVERAGE(월별지수!I78,월별지수!U78,월별지수!AG78)/키워드지표!$C78*100,"")</f>
        <v>106.1585665</v>
      </c>
      <c r="E78" s="7">
        <f>IFERROR(AVERAGE(월별지수!J78,월별지수!V78,월별지수!AH78)/키워드지표!$C78*100,"")</f>
        <v>97.83530898</v>
      </c>
      <c r="F78" s="7">
        <f>IFERROR(AVERAGE(월별지수!K78,월별지수!W78,월별지수!AI78)/키워드지표!$C78*100,"")</f>
        <v>97.35454544</v>
      </c>
      <c r="G78" s="7">
        <f>IFERROR(AVERAGE(월별지수!L78,월별지수!X78,월별지수!AJ78)/키워드지표!$C78*100,"")</f>
        <v>93.08782263</v>
      </c>
      <c r="H78" s="7">
        <f>IFERROR(AVERAGE(월별지수!M78,월별지수!Y78,월별지수!AK78)/키워드지표!$C78*100,"")</f>
        <v>98.01556552</v>
      </c>
      <c r="I78" s="7">
        <f>IFERROR(AVERAGE(월별지수!N78,월별지수!Z78,월별지수!AL78)/키워드지표!$C78*100,"")</f>
        <v>107.1801473</v>
      </c>
      <c r="J78" s="7">
        <f>IFERROR(AVERAGE(월별지수!C78,월별지수!O78,월별지수!AA78)/키워드지표!$C78*100,"")</f>
        <v>105.0017218</v>
      </c>
      <c r="K78" s="7">
        <f>IFERROR(AVERAGE(월별지수!D78,월별지수!P78,월별지수!AB78)/키워드지표!$C78*100,"")</f>
        <v>104.836431</v>
      </c>
      <c r="L78" s="7">
        <f>IFERROR(AVERAGE(월별지수!E78,월별지수!Q78,월별지수!AC78)/키워드지표!$C78*100,"")</f>
        <v>97.51978854</v>
      </c>
      <c r="M78" s="7">
        <f>IFERROR(AVERAGE(월별지수!F78,월별지수!R78,월별지수!AD78)/키워드지표!$C78*100,"")</f>
        <v>96.67846426</v>
      </c>
    </row>
    <row r="79">
      <c r="A79" s="3" t="inlineStr">
        <is>
          <t>서울이비인후과</t>
        </is>
      </c>
      <c r="B79" s="7">
        <f>IFERROR(AVERAGE(월별지수!G79,월별지수!S79,월별지수!AE79)/키워드지표!$C79*100,"")</f>
        <v>117.5678079</v>
      </c>
      <c r="C79" s="7">
        <f>IFERROR(AVERAGE(월별지수!H79,월별지수!T79,월별지수!AF79)/키워드지표!$C79*100,"")</f>
        <v>88.61283592</v>
      </c>
      <c r="D79" s="7">
        <f>IFERROR(AVERAGE(월별지수!I79,월별지수!U79,월별지수!AG79)/키워드지표!$C79*100,"")</f>
        <v>102.3775456</v>
      </c>
      <c r="E79" s="7">
        <f>IFERROR(AVERAGE(월별지수!J79,월별지수!V79,월별지수!AH79)/키워드지표!$C79*100,"")</f>
        <v>105.0942012</v>
      </c>
      <c r="F79" s="7">
        <f>IFERROR(AVERAGE(월별지수!K79,월별지수!W79,월별지수!AI79)/키워드지표!$C79*100,"")</f>
        <v>96.4890311</v>
      </c>
      <c r="G79" s="7">
        <f>IFERROR(AVERAGE(월별지수!L79,월별지수!X79,월별지수!AJ79)/키워드지표!$C79*100,"")</f>
        <v>73.3755968</v>
      </c>
      <c r="H79" s="7">
        <f>IFERROR(AVERAGE(월별지수!M79,월별지수!Y79,월별지수!AK79)/키워드지표!$C79*100,"")</f>
        <v>78.05076854</v>
      </c>
      <c r="I79" s="7">
        <f>IFERROR(AVERAGE(월별지수!N79,월별지수!Z79,월별지수!AL79)/키워드지표!$C79*100,"")</f>
        <v>87.74940092</v>
      </c>
      <c r="J79" s="7">
        <f>IFERROR(AVERAGE(월별지수!C79,월별지수!O79,월별지수!AA79)/키워드지표!$C79*100,"")</f>
        <v>95.31294703</v>
      </c>
      <c r="K79" s="7">
        <f>IFERROR(AVERAGE(월별지수!D79,월별지수!P79,월별지수!AB79)/키워드지표!$C79*100,"")</f>
        <v>118.575416</v>
      </c>
      <c r="L79" s="7">
        <f>IFERROR(AVERAGE(월별지수!E79,월별지수!Q79,월별지수!AC79)/키워드지표!$C79*100,"")</f>
        <v>114.0185007</v>
      </c>
      <c r="M79" s="7">
        <f>IFERROR(AVERAGE(월별지수!F79,월별지수!R79,월별지수!AD79)/키워드지표!$C79*100,"")</f>
        <v>122.7759483</v>
      </c>
    </row>
    <row r="80">
      <c r="A80" s="3" t="inlineStr">
        <is>
          <t>서울비뇨기과</t>
        </is>
      </c>
      <c r="B80" s="7">
        <f>IFERROR(AVERAGE(월별지수!G80,월별지수!S80,월별지수!AE80)/키워드지표!$C80*100,"")</f>
        <v>116.1914424</v>
      </c>
      <c r="C80" s="7">
        <f>IFERROR(AVERAGE(월별지수!H80,월별지수!T80,월별지수!AF80)/키워드지표!$C80*100,"")</f>
        <v>105.298479</v>
      </c>
      <c r="D80" s="7">
        <f>IFERROR(AVERAGE(월별지수!I80,월별지수!U80,월별지수!AG80)/키워드지표!$C80*100,"")</f>
        <v>94.20190674</v>
      </c>
      <c r="E80" s="7">
        <f>IFERROR(AVERAGE(월별지수!J80,월별지수!V80,월별지수!AH80)/키워드지표!$C80*100,"")</f>
        <v>95.638472</v>
      </c>
      <c r="F80" s="7">
        <f>IFERROR(AVERAGE(월별지수!K80,월별지수!W80,월별지수!AI80)/키워드지표!$C80*100,"")</f>
        <v>96.53210438</v>
      </c>
      <c r="G80" s="7">
        <f>IFERROR(AVERAGE(월별지수!L80,월별지수!X80,월별지수!AJ80)/키워드지표!$C80*100,"")</f>
        <v>87.68649675</v>
      </c>
      <c r="H80" s="7">
        <f>IFERROR(AVERAGE(월별지수!M80,월별지수!Y80,월별지수!AK80)/키워드지표!$C80*100,"")</f>
        <v>93.88518991</v>
      </c>
      <c r="I80" s="7">
        <f>IFERROR(AVERAGE(월별지수!N80,월별지수!Z80,월별지수!AL80)/키워드지표!$C80*100,"")</f>
        <v>94.41685506</v>
      </c>
      <c r="J80" s="7">
        <f>IFERROR(AVERAGE(월별지수!C80,월별지수!O80,월별지수!AA80)/키워드지표!$C80*100,"")</f>
        <v>108.0019475</v>
      </c>
      <c r="K80" s="7">
        <f>IFERROR(AVERAGE(월별지수!D80,월별지수!P80,월별지수!AB80)/키워드지표!$C80*100,"")</f>
        <v>111.5877088</v>
      </c>
      <c r="L80" s="7">
        <f>IFERROR(AVERAGE(월별지수!E80,월별지수!Q80,월별지수!AC80)/키워드지표!$C80*100,"")</f>
        <v>94.93714481</v>
      </c>
      <c r="M80" s="7">
        <f>IFERROR(AVERAGE(월별지수!F80,월별지수!R80,월별지수!AD80)/키워드지표!$C80*100,"")</f>
        <v>101.6222527</v>
      </c>
    </row>
    <row r="81">
      <c r="A81" s="3" t="inlineStr">
        <is>
          <t>부산이비인후과</t>
        </is>
      </c>
      <c r="B81" s="7">
        <f>IFERROR(AVERAGE(월별지수!G81,월별지수!S81,월별지수!AE81)/키워드지표!$C81*100,"")</f>
        <v>101.5132371</v>
      </c>
      <c r="C81" s="7">
        <f>IFERROR(AVERAGE(월별지수!H81,월별지수!T81,월별지수!AF81)/키워드지표!$C81*100,"")</f>
        <v>94.00741185</v>
      </c>
      <c r="D81" s="7">
        <f>IFERROR(AVERAGE(월별지수!I81,월별지수!U81,월별지수!AG81)/키워드지표!$C81*100,"")</f>
        <v>92.86972318</v>
      </c>
      <c r="E81" s="7">
        <f>IFERROR(AVERAGE(월별지수!J81,월별지수!V81,월별지수!AH81)/키워드지표!$C81*100,"")</f>
        <v>90.2323455</v>
      </c>
      <c r="F81" s="7">
        <f>IFERROR(AVERAGE(월별지수!K81,월별지수!W81,월별지수!AI81)/키워드지표!$C81*100,"")</f>
        <v>90.90461405</v>
      </c>
      <c r="G81" s="7">
        <f>IFERROR(AVERAGE(월별지수!L81,월별지수!X81,월별지수!AJ81)/키워드지표!$C81*100,"")</f>
        <v>77.86547071</v>
      </c>
      <c r="H81" s="7">
        <f>IFERROR(AVERAGE(월별지수!M81,월별지수!Y81,월별지수!AK81)/키워드지표!$C81*100,"")</f>
        <v>101.9860284</v>
      </c>
      <c r="I81" s="7">
        <f>IFERROR(AVERAGE(월별지수!N81,월별지수!Z81,월별지수!AL81)/키워드지표!$C81*100,"")</f>
        <v>113.9761337</v>
      </c>
      <c r="J81" s="7">
        <f>IFERROR(AVERAGE(월별지수!C81,월별지수!O81,월별지수!AA81)/키워드지표!$C81*100,"")</f>
        <v>122.1172912</v>
      </c>
      <c r="K81" s="7">
        <f>IFERROR(AVERAGE(월별지수!D81,월별지수!P81,월별지수!AB81)/키워드지표!$C81*100,"")</f>
        <v>104.5495425</v>
      </c>
      <c r="L81" s="7">
        <f>IFERROR(AVERAGE(월별지수!E81,월별지수!Q81,월별지수!AC81)/키워드지표!$C81*100,"")</f>
        <v>104.7785491</v>
      </c>
      <c r="M81" s="7">
        <f>IFERROR(AVERAGE(월별지수!F81,월별지수!R81,월별지수!AD81)/키워드지표!$C81*100,"")</f>
        <v>105.1996528</v>
      </c>
    </row>
    <row r="82">
      <c r="A82" s="3" t="inlineStr">
        <is>
          <t>대구이비인후과</t>
        </is>
      </c>
      <c r="B82" s="7">
        <f>IFERROR(AVERAGE(월별지수!G82,월별지수!S82,월별지수!AE82)/키워드지표!$C82*100,"")</f>
        <v>94.18515617</v>
      </c>
      <c r="C82" s="7">
        <f>IFERROR(AVERAGE(월별지수!H82,월별지수!T82,월별지수!AF82)/키워드지표!$C82*100,"")</f>
        <v>97.04388441</v>
      </c>
      <c r="D82" s="7">
        <f>IFERROR(AVERAGE(월별지수!I82,월별지수!U82,월별지수!AG82)/키워드지표!$C82*100,"")</f>
        <v>103.2482477</v>
      </c>
      <c r="E82" s="7">
        <f>IFERROR(AVERAGE(월별지수!J82,월별지수!V82,월별지수!AH82)/키워드지표!$C82*100,"")</f>
        <v>84.25262116</v>
      </c>
      <c r="F82" s="7">
        <f>IFERROR(AVERAGE(월별지수!K82,월별지수!W82,월별지수!AI82)/키워드지표!$C82*100,"")</f>
        <v>90.29700949</v>
      </c>
      <c r="G82" s="7">
        <f>IFERROR(AVERAGE(월별지수!L82,월별지수!X82,월별지수!AJ82)/키워드지표!$C82*100,"")</f>
        <v>96.1048804</v>
      </c>
      <c r="H82" s="7">
        <f>IFERROR(AVERAGE(월별지수!M82,월별지수!Y82,월별지수!AK82)/키워드지표!$C82*100,"")</f>
        <v>98.18459629</v>
      </c>
      <c r="I82" s="7">
        <f>IFERROR(AVERAGE(월별지수!N82,월별지수!Z82,월별지수!AL82)/키워드지표!$C82*100,"")</f>
        <v>92.76622738</v>
      </c>
      <c r="J82" s="7">
        <f>IFERROR(AVERAGE(월별지수!C82,월별지수!O82,월별지수!AA82)/키워드지표!$C82*100,"")</f>
        <v>98.72713306</v>
      </c>
      <c r="K82" s="7">
        <f>IFERROR(AVERAGE(월별지수!D82,월별지수!P82,월별지수!AB82)/키워드지표!$C82*100,"")</f>
        <v>93.92780156</v>
      </c>
      <c r="L82" s="7">
        <f>IFERROR(AVERAGE(월별지수!E82,월별지수!Q82,월별지수!AC82)/키워드지표!$C82*100,"")</f>
        <v>110.7741517</v>
      </c>
      <c r="M82" s="7">
        <f>IFERROR(AVERAGE(월별지수!F82,월별지수!R82,월별지수!AD82)/키워드지표!$C82*100,"")</f>
        <v>140.4882908</v>
      </c>
    </row>
    <row r="83">
      <c r="A83" s="3" t="inlineStr">
        <is>
          <t>부산산부인과</t>
        </is>
      </c>
      <c r="B83" s="7">
        <f>IFERROR(AVERAGE(월별지수!G83,월별지수!S83,월별지수!AE83)/키워드지표!$C83*100,"")</f>
        <v>103.7463205</v>
      </c>
      <c r="C83" s="7">
        <f>IFERROR(AVERAGE(월별지수!H83,월별지수!T83,월별지수!AF83)/키워드지표!$C83*100,"")</f>
        <v>125.243075</v>
      </c>
      <c r="D83" s="7">
        <f>IFERROR(AVERAGE(월별지수!I83,월별지수!U83,월별지수!AG83)/키워드지표!$C83*100,"")</f>
        <v>94.29132233</v>
      </c>
      <c r="E83" s="7">
        <f>IFERROR(AVERAGE(월별지수!J83,월별지수!V83,월별지수!AH83)/키워드지표!$C83*100,"")</f>
        <v>98.10008188</v>
      </c>
      <c r="F83" s="7">
        <f>IFERROR(AVERAGE(월별지수!K83,월별지수!W83,월별지수!AI83)/키워드지표!$C83*100,"")</f>
        <v>103.6125299</v>
      </c>
      <c r="G83" s="7">
        <f>IFERROR(AVERAGE(월별지수!L83,월별지수!X83,월별지수!AJ83)/키워드지표!$C83*100,"")</f>
        <v>93.51528954</v>
      </c>
      <c r="H83" s="7">
        <f>IFERROR(AVERAGE(월별지수!M83,월별지수!Y83,월별지수!AK83)/키워드지표!$C83*100,"")</f>
        <v>95.37061169</v>
      </c>
      <c r="I83" s="7">
        <f>IFERROR(AVERAGE(월별지수!N83,월별지수!Z83,월별지수!AL83)/키워드지표!$C83*100,"")</f>
        <v>108.8038461</v>
      </c>
      <c r="J83" s="7">
        <f>IFERROR(AVERAGE(월별지수!C83,월별지수!O83,월별지수!AA83)/키워드지표!$C83*100,"")</f>
        <v>103.3538595</v>
      </c>
      <c r="K83" s="7">
        <f>IFERROR(AVERAGE(월별지수!D83,월별지수!P83,월별지수!AB83)/키워드지표!$C83*100,"")</f>
        <v>101.632328</v>
      </c>
      <c r="L83" s="7">
        <f>IFERROR(AVERAGE(월별지수!E83,월별지수!Q83,월별지수!AC83)/키워드지표!$C83*100,"")</f>
        <v>82.93639438</v>
      </c>
      <c r="M83" s="7">
        <f>IFERROR(AVERAGE(월별지수!F83,월별지수!R83,월별지수!AD83)/키워드지표!$C83*100,"")</f>
        <v>89.39434116</v>
      </c>
    </row>
    <row r="84">
      <c r="A84" s="3" t="inlineStr">
        <is>
          <t>대구산부인과</t>
        </is>
      </c>
      <c r="B84" s="7">
        <f>IFERROR(AVERAGE(월별지수!G84,월별지수!S84,월별지수!AE84)/키워드지표!$C84*100,"")</f>
        <v>98.36973578</v>
      </c>
      <c r="C84" s="7">
        <f>IFERROR(AVERAGE(월별지수!H84,월별지수!T84,월별지수!AF84)/키워드지표!$C84*100,"")</f>
        <v>92.6629841</v>
      </c>
      <c r="D84" s="7">
        <f>IFERROR(AVERAGE(월별지수!I84,월별지수!U84,월별지수!AG84)/키워드지표!$C84*100,"")</f>
        <v>101.5227796</v>
      </c>
      <c r="E84" s="7">
        <f>IFERROR(AVERAGE(월별지수!J84,월별지수!V84,월별지수!AH84)/키워드지표!$C84*100,"")</f>
        <v>115.8808526</v>
      </c>
      <c r="F84" s="7">
        <f>IFERROR(AVERAGE(월별지수!K84,월별지수!W84,월별지수!AI84)/키워드지표!$C84*100,"")</f>
        <v>103.3273115</v>
      </c>
      <c r="G84" s="7">
        <f>IFERROR(AVERAGE(월별지수!L84,월별지수!X84,월별지수!AJ84)/키워드지표!$C84*100,"")</f>
        <v>95.63362475</v>
      </c>
      <c r="H84" s="7">
        <f>IFERROR(AVERAGE(월별지수!M84,월별지수!Y84,월별지수!AK84)/키워드지표!$C84*100,"")</f>
        <v>99.37948889</v>
      </c>
      <c r="I84" s="7">
        <f>IFERROR(AVERAGE(월별지수!N84,월별지수!Z84,월별지수!AL84)/키워드지표!$C84*100,"")</f>
        <v>105.7832901</v>
      </c>
      <c r="J84" s="7">
        <f>IFERROR(AVERAGE(월별지수!C84,월별지수!O84,월별지수!AA84)/키워드지표!$C84*100,"")</f>
        <v>101.6856355</v>
      </c>
      <c r="K84" s="7">
        <f>IFERROR(AVERAGE(월별지수!D84,월별지수!P84,월별지수!AB84)/키워드지표!$C84*100,"")</f>
        <v>107.0666598</v>
      </c>
      <c r="L84" s="7">
        <f>IFERROR(AVERAGE(월별지수!E84,월별지수!Q84,월별지수!AC84)/키워드지표!$C84*100,"")</f>
        <v>85.93996351</v>
      </c>
      <c r="M84" s="7">
        <f>IFERROR(AVERAGE(월별지수!F84,월별지수!R84,월별지수!AD84)/키워드지표!$C84*100,"")</f>
        <v>92.74767383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15" customWidth="1" min="5" max="5"/>
    <col width="15" customWidth="1" min="6" max="6"/>
    <col width="11" customWidth="1" min="7" max="7"/>
    <col width="11" customWidth="1" min="8" max="8"/>
    <col width="12" customWidth="1" min="9" max="9"/>
    <col width="9" customWidth="1" min="10" max="10"/>
    <col width="9" customWidth="1" min="11" max="11"/>
    <col width="11" customWidth="1" min="12" max="12"/>
  </cols>
  <sheetData>
    <row r="1">
      <c r="A1" s="5" t="inlineStr">
        <is>
          <t>키워드</t>
        </is>
      </c>
      <c r="B1" s="5" t="inlineStr">
        <is>
          <t>분류</t>
        </is>
      </c>
      <c r="C1" s="5" t="inlineStr">
        <is>
          <t>3년 평균</t>
        </is>
      </c>
      <c r="D1" s="5" t="inlineStr">
        <is>
          <t>1년차
2023.09–2024.08</t>
        </is>
      </c>
      <c r="E1" s="5" t="inlineStr">
        <is>
          <t>2년차
2024.09–2025.08</t>
        </is>
      </c>
      <c r="F1" s="5" t="inlineStr">
        <is>
          <t>3년차
2025.09–2026.08</t>
        </is>
      </c>
      <c r="G1" s="5" t="inlineStr">
        <is>
          <t>3년 변화</t>
        </is>
      </c>
      <c r="H1" s="5" t="inlineStr">
        <is>
          <t>변동계수</t>
        </is>
      </c>
      <c r="I1" s="5" t="inlineStr">
        <is>
          <t>스파이크
최대÷중앙</t>
        </is>
      </c>
      <c r="J1" s="5" t="inlineStr">
        <is>
          <t>피크월</t>
        </is>
      </c>
      <c r="K1" s="5" t="inlineStr">
        <is>
          <t>지역</t>
        </is>
      </c>
      <c r="L1" s="5" t="inlineStr">
        <is>
          <t>진료과</t>
        </is>
      </c>
    </row>
    <row r="2">
      <c r="A2" s="3" t="inlineStr">
        <is>
          <t>서울치과</t>
        </is>
      </c>
      <c r="B2" s="3" t="inlineStr">
        <is>
          <t>지역명+진료과</t>
        </is>
      </c>
      <c r="C2" s="6">
        <f>AVERAGE(월별지수!C2:AL2)</f>
        <v>86.90368431</v>
      </c>
      <c r="D2" s="6">
        <f>AVERAGE(월별지수!C2:N2)</f>
        <v>94.51855897</v>
      </c>
      <c r="E2" s="6">
        <f>AVERAGE(월별지수!O2:Z2)</f>
        <v>86.51573138</v>
      </c>
      <c r="F2" s="6">
        <f>AVERAGE(월별지수!AA2:AL2)</f>
        <v>79.6767626</v>
      </c>
      <c r="G2" s="8">
        <f>IFERROR(F2/D2-1,"")</f>
        <v>-0.1570252078</v>
      </c>
      <c r="H2" s="9">
        <f>IFERROR(STDEVP(월별지수!C2:AL2)/C2,"")</f>
        <v>0.09559461168</v>
      </c>
      <c r="I2" s="10">
        <f>IFERROR(MAX(월별지수!C2:AL2)/MEDIAN(월별지수!C2:AL2),"")</f>
        <v>1.201886791</v>
      </c>
      <c r="J2" s="11">
        <f>INDEX(계절_월별!$B$1:$M$1,MATCH(MAX(계절_월별!B2:M2),계절_월별!B2:M2,0))</f>
        <v>1</v>
      </c>
      <c r="K2" s="3" t="inlineStr">
        <is>
          <t>서울</t>
        </is>
      </c>
      <c r="L2" s="3" t="inlineStr">
        <is>
          <t>치과</t>
        </is>
      </c>
    </row>
    <row r="3">
      <c r="A3" s="3" t="inlineStr">
        <is>
          <t>부산치과</t>
        </is>
      </c>
      <c r="B3" s="3" t="inlineStr">
        <is>
          <t>지역명+진료과</t>
        </is>
      </c>
      <c r="C3" s="6">
        <f>AVERAGE(월별지수!C3:AL3)</f>
        <v>92.13568632</v>
      </c>
      <c r="D3" s="6">
        <f>AVERAGE(월별지수!C3:N3)</f>
        <v>99.45069858</v>
      </c>
      <c r="E3" s="6">
        <f>AVERAGE(월별지수!O3:Z3)</f>
        <v>96.94325239</v>
      </c>
      <c r="F3" s="6">
        <f>AVERAGE(월별지수!AA3:AL3)</f>
        <v>80.013108</v>
      </c>
      <c r="G3" s="8">
        <f>IFERROR(F3/D3-1,"")</f>
        <v>-0.1954495128</v>
      </c>
      <c r="H3" s="9">
        <f>IFERROR(STDEVP(월별지수!C3:AL3)/C3,"")</f>
        <v>0.4586977707</v>
      </c>
      <c r="I3" s="10">
        <f>IFERROR(MAX(월별지수!C3:AL3)/MEDIAN(월별지수!C3:AL3),"")</f>
        <v>2.994006606</v>
      </c>
      <c r="J3" s="11">
        <f>INDEX(계절_월별!$B$1:$M$1,MATCH(MAX(계절_월별!B3:M3),계절_월별!B3:M3,0))</f>
        <v>7</v>
      </c>
      <c r="K3" s="3" t="inlineStr">
        <is>
          <t>부산</t>
        </is>
      </c>
      <c r="L3" s="3" t="inlineStr">
        <is>
          <t>치과</t>
        </is>
      </c>
    </row>
    <row r="4">
      <c r="A4" s="3" t="inlineStr">
        <is>
          <t>대구치과</t>
        </is>
      </c>
      <c r="B4" s="3" t="inlineStr">
        <is>
          <t>지역명+진료과</t>
        </is>
      </c>
      <c r="C4" s="6">
        <f>AVERAGE(월별지수!C4:AL4)</f>
        <v>122.2184998</v>
      </c>
      <c r="D4" s="6">
        <f>AVERAGE(월별지수!C4:N4)</f>
        <v>120.2078588</v>
      </c>
      <c r="E4" s="6">
        <f>AVERAGE(월별지수!O4:Z4)</f>
        <v>134.8565683</v>
      </c>
      <c r="F4" s="6">
        <f>AVERAGE(월별지수!AA4:AL4)</f>
        <v>111.5910724</v>
      </c>
      <c r="G4" s="8">
        <f>IFERROR(F4/D4-1,"")</f>
        <v>-0.07168238832</v>
      </c>
      <c r="H4" s="9">
        <f>IFERROR(STDEVP(월별지수!C4:AL4)/C4,"")</f>
        <v>0.4631570178</v>
      </c>
      <c r="I4" s="10">
        <f>IFERROR(MAX(월별지수!C4:AL4)/MEDIAN(월별지수!C4:AL4),"")</f>
        <v>2.369072891</v>
      </c>
      <c r="J4" s="11">
        <f>INDEX(계절_월별!$B$1:$M$1,MATCH(MAX(계절_월별!B4:M4),계절_월별!B4:M4,0))</f>
        <v>3</v>
      </c>
      <c r="K4" s="3" t="inlineStr">
        <is>
          <t>대구</t>
        </is>
      </c>
      <c r="L4" s="3" t="inlineStr">
        <is>
          <t>치과</t>
        </is>
      </c>
    </row>
    <row r="5">
      <c r="A5" s="3" t="inlineStr">
        <is>
          <t>인천치과</t>
        </is>
      </c>
      <c r="B5" s="3" t="inlineStr">
        <is>
          <t>지역명+진료과</t>
        </is>
      </c>
      <c r="C5" s="6">
        <f>AVERAGE(월별지수!C5:AL5)</f>
        <v>63.7778896</v>
      </c>
      <c r="D5" s="6">
        <f>AVERAGE(월별지수!C5:N5)</f>
        <v>65.00313942</v>
      </c>
      <c r="E5" s="6">
        <f>AVERAGE(월별지수!O5:Z5)</f>
        <v>68.44130939</v>
      </c>
      <c r="F5" s="6">
        <f>AVERAGE(월별지수!AA5:AL5)</f>
        <v>57.88921999</v>
      </c>
      <c r="G5" s="8">
        <f>IFERROR(F5/D5-1,"")</f>
        <v>-0.1094396285</v>
      </c>
      <c r="H5" s="9">
        <f>IFERROR(STDEVP(월별지수!C5:AL5)/C5,"")</f>
        <v>0.25999271</v>
      </c>
      <c r="I5" s="10">
        <f>IFERROR(MAX(월별지수!C5:AL5)/MEDIAN(월별지수!C5:AL5),"")</f>
        <v>1.781530601</v>
      </c>
      <c r="J5" s="11">
        <f>INDEX(계절_월별!$B$1:$M$1,MATCH(MAX(계절_월별!B5:M5),계절_월별!B5:M5,0))</f>
        <v>7</v>
      </c>
      <c r="K5" s="3" t="inlineStr">
        <is>
          <t>인천</t>
        </is>
      </c>
      <c r="L5" s="3" t="inlineStr">
        <is>
          <t>치과</t>
        </is>
      </c>
    </row>
    <row r="6">
      <c r="A6" s="3" t="inlineStr">
        <is>
          <t>광주치과</t>
        </is>
      </c>
      <c r="B6" s="3" t="inlineStr">
        <is>
          <t>지역명+진료과</t>
        </is>
      </c>
      <c r="C6" s="6">
        <f>AVERAGE(월별지수!C6:AL6)</f>
        <v>67.56930931</v>
      </c>
      <c r="D6" s="6">
        <f>AVERAGE(월별지수!C6:N6)</f>
        <v>66.91264019</v>
      </c>
      <c r="E6" s="6">
        <f>AVERAGE(월별지수!O6:Z6)</f>
        <v>72.75237201</v>
      </c>
      <c r="F6" s="6">
        <f>AVERAGE(월별지수!AA6:AL6)</f>
        <v>63.04291574</v>
      </c>
      <c r="G6" s="8">
        <f>IFERROR(F6/D6-1,"")</f>
        <v>-0.0578324878</v>
      </c>
      <c r="H6" s="9">
        <f>IFERROR(STDEVP(월별지수!C6:AL6)/C6,"")</f>
        <v>0.4123838135</v>
      </c>
      <c r="I6" s="10">
        <f>IFERROR(MAX(월별지수!C6:AL6)/MEDIAN(월별지수!C6:AL6),"")</f>
        <v>3.379231952</v>
      </c>
      <c r="J6" s="11">
        <f>INDEX(계절_월별!$B$1:$M$1,MATCH(MAX(계절_월별!B6:M6),계절_월별!B6:M6,0))</f>
        <v>8</v>
      </c>
      <c r="K6" s="3" t="inlineStr">
        <is>
          <t>광주</t>
        </is>
      </c>
      <c r="L6" s="3" t="inlineStr">
        <is>
          <t>치과</t>
        </is>
      </c>
    </row>
    <row r="7">
      <c r="A7" s="3" t="inlineStr">
        <is>
          <t>대전치과</t>
        </is>
      </c>
      <c r="B7" s="3" t="inlineStr">
        <is>
          <t>지역명+진료과</t>
        </is>
      </c>
      <c r="C7" s="6">
        <f>AVERAGE(월별지수!C7:AL7)</f>
        <v>104.8120155</v>
      </c>
      <c r="D7" s="6">
        <f>AVERAGE(월별지수!C7:N7)</f>
        <v>84.56263049</v>
      </c>
      <c r="E7" s="6">
        <f>AVERAGE(월별지수!O7:Z7)</f>
        <v>129.1156046</v>
      </c>
      <c r="F7" s="6">
        <f>AVERAGE(월별지수!AA7:AL7)</f>
        <v>100.7578114</v>
      </c>
      <c r="G7" s="8">
        <f>IFERROR(F7/D7-1,"")</f>
        <v>0.1915169959</v>
      </c>
      <c r="H7" s="9">
        <f>IFERROR(STDEVP(월별지수!C7:AL7)/C7,"")</f>
        <v>0.266724746</v>
      </c>
      <c r="I7" s="10">
        <f>IFERROR(MAX(월별지수!C7:AL7)/MEDIAN(월별지수!C7:AL7),"")</f>
        <v>1.789119914</v>
      </c>
      <c r="J7" s="11">
        <f>INDEX(계절_월별!$B$1:$M$1,MATCH(MAX(계절_월별!B7:M7),계절_월별!B7:M7,0))</f>
        <v>3</v>
      </c>
      <c r="K7" s="3" t="inlineStr">
        <is>
          <t>대전</t>
        </is>
      </c>
      <c r="L7" s="3" t="inlineStr">
        <is>
          <t>치과</t>
        </is>
      </c>
    </row>
    <row r="8">
      <c r="A8" s="3" t="inlineStr">
        <is>
          <t>울산치과</t>
        </is>
      </c>
      <c r="B8" s="3" t="inlineStr">
        <is>
          <t>지역명+진료과</t>
        </is>
      </c>
      <c r="C8" s="6">
        <f>AVERAGE(월별지수!C8:AL8)</f>
        <v>90.56103877</v>
      </c>
      <c r="D8" s="6">
        <f>AVERAGE(월별지수!C8:N8)</f>
        <v>89.58285382</v>
      </c>
      <c r="E8" s="6">
        <f>AVERAGE(월별지수!O8:Z8)</f>
        <v>112.8937341</v>
      </c>
      <c r="F8" s="6">
        <f>AVERAGE(월별지수!AA8:AL8)</f>
        <v>69.20652842</v>
      </c>
      <c r="G8" s="8">
        <f>IFERROR(F8/D8-1,"")</f>
        <v>-0.2274578731</v>
      </c>
      <c r="H8" s="9">
        <f>IFERROR(STDEVP(월별지수!C8:AL8)/C8,"")</f>
        <v>0.4769661755</v>
      </c>
      <c r="I8" s="10">
        <f>IFERROR(MAX(월별지수!C8:AL8)/MEDIAN(월별지수!C8:AL8),"")</f>
        <v>2.997190319</v>
      </c>
      <c r="J8" s="11">
        <f>INDEX(계절_월별!$B$1:$M$1,MATCH(MAX(계절_월별!B8:M8),계절_월별!B8:M8,0))</f>
        <v>3</v>
      </c>
      <c r="K8" s="3" t="inlineStr">
        <is>
          <t>울산</t>
        </is>
      </c>
      <c r="L8" s="3" t="inlineStr">
        <is>
          <t>치과</t>
        </is>
      </c>
    </row>
    <row r="9">
      <c r="A9" s="3" t="inlineStr">
        <is>
          <t>서울한의원</t>
        </is>
      </c>
      <c r="B9" s="3" t="inlineStr">
        <is>
          <t>지역명+진료과</t>
        </is>
      </c>
      <c r="C9" s="6">
        <f>AVERAGE(월별지수!C9:AL9)</f>
        <v>27.23960433</v>
      </c>
      <c r="D9" s="6">
        <f>AVERAGE(월별지수!C9:N9)</f>
        <v>28.71370035</v>
      </c>
      <c r="E9" s="6">
        <f>AVERAGE(월별지수!O9:Z9)</f>
        <v>27.52226333</v>
      </c>
      <c r="F9" s="6">
        <f>AVERAGE(월별지수!AA9:AL9)</f>
        <v>25.4828493</v>
      </c>
      <c r="G9" s="8">
        <f>IFERROR(F9/D9-1,"")</f>
        <v>-0.1125194945</v>
      </c>
      <c r="H9" s="9">
        <f>IFERROR(STDEVP(월별지수!C9:AL9)/C9,"")</f>
        <v>0.0961116457</v>
      </c>
      <c r="I9" s="10">
        <f>IFERROR(MAX(월별지수!C9:AL9)/MEDIAN(월별지수!C9:AL9),"")</f>
        <v>1.189389936</v>
      </c>
      <c r="J9" s="11">
        <f>INDEX(계절_월별!$B$1:$M$1,MATCH(MAX(계절_월별!B9:M9),계절_월별!B9:M9,0))</f>
        <v>8</v>
      </c>
      <c r="K9" s="3" t="inlineStr">
        <is>
          <t>서울</t>
        </is>
      </c>
      <c r="L9" s="3" t="inlineStr">
        <is>
          <t>한의원</t>
        </is>
      </c>
    </row>
    <row r="10">
      <c r="A10" s="3" t="inlineStr">
        <is>
          <t>부산한의원</t>
        </is>
      </c>
      <c r="B10" s="3" t="inlineStr">
        <is>
          <t>지역명+진료과</t>
        </is>
      </c>
      <c r="C10" s="6">
        <f>AVERAGE(월별지수!C10:AL10)</f>
        <v>41.27999368</v>
      </c>
      <c r="D10" s="6">
        <f>AVERAGE(월별지수!C10:N10)</f>
        <v>57.96129173</v>
      </c>
      <c r="E10" s="6">
        <f>AVERAGE(월별지수!O10:Z10)</f>
        <v>28.83916448</v>
      </c>
      <c r="F10" s="6">
        <f>AVERAGE(월별지수!AA10:AL10)</f>
        <v>37.03952483</v>
      </c>
      <c r="G10" s="8">
        <f>IFERROR(F10/D10-1,"")</f>
        <v>-0.3609610186</v>
      </c>
      <c r="H10" s="9">
        <f>IFERROR(STDEVP(월별지수!C10:AL10)/C10,"")</f>
        <v>0.548004309</v>
      </c>
      <c r="I10" s="10">
        <f>IFERROR(MAX(월별지수!C10:AL10)/MEDIAN(월별지수!C10:AL10),"")</f>
        <v>3.570436444</v>
      </c>
      <c r="J10" s="11">
        <f>INDEX(계절_월별!$B$1:$M$1,MATCH(MAX(계절_월별!B10:M10),계절_월별!B10:M10,0))</f>
        <v>10</v>
      </c>
      <c r="K10" s="3" t="inlineStr">
        <is>
          <t>부산</t>
        </is>
      </c>
      <c r="L10" s="3" t="inlineStr">
        <is>
          <t>한의원</t>
        </is>
      </c>
    </row>
    <row r="11">
      <c r="A11" s="3" t="inlineStr">
        <is>
          <t>대구한의원</t>
        </is>
      </c>
      <c r="B11" s="3" t="inlineStr">
        <is>
          <t>지역명+진료과</t>
        </is>
      </c>
      <c r="C11" s="6">
        <f>AVERAGE(월별지수!C11:AL11)</f>
        <v>43.27402847</v>
      </c>
      <c r="D11" s="6">
        <f>AVERAGE(월별지수!C11:N11)</f>
        <v>50.63471813</v>
      </c>
      <c r="E11" s="6">
        <f>AVERAGE(월별지수!O11:Z11)</f>
        <v>46.30585662</v>
      </c>
      <c r="F11" s="6">
        <f>AVERAGE(월별지수!AA11:AL11)</f>
        <v>32.88151068</v>
      </c>
      <c r="G11" s="8">
        <f>IFERROR(F11/D11-1,"")</f>
        <v>-0.3506133361</v>
      </c>
      <c r="H11" s="9">
        <f>IFERROR(STDEVP(월별지수!C11:AL11)/C11,"")</f>
        <v>0.3328031982</v>
      </c>
      <c r="I11" s="10">
        <f>IFERROR(MAX(월별지수!C11:AL11)/MEDIAN(월별지수!C11:AL11),"")</f>
        <v>2.159637818</v>
      </c>
      <c r="J11" s="11">
        <f>INDEX(계절_월별!$B$1:$M$1,MATCH(MAX(계절_월별!B11:M11),계절_월별!B11:M11,0))</f>
        <v>4</v>
      </c>
      <c r="K11" s="3" t="inlineStr">
        <is>
          <t>대구</t>
        </is>
      </c>
      <c r="L11" s="3" t="inlineStr">
        <is>
          <t>한의원</t>
        </is>
      </c>
    </row>
    <row r="12">
      <c r="A12" s="3" t="inlineStr">
        <is>
          <t>인천한의원</t>
        </is>
      </c>
      <c r="B12" s="3" t="inlineStr">
        <is>
          <t>지역명+진료과</t>
        </is>
      </c>
      <c r="C12" s="6">
        <f>AVERAGE(월별지수!C12:AL12)</f>
        <v>59.15599405</v>
      </c>
      <c r="D12" s="6">
        <f>AVERAGE(월별지수!C12:N12)</f>
        <v>89.20025127</v>
      </c>
      <c r="E12" s="6">
        <f>AVERAGE(월별지수!O12:Z12)</f>
        <v>46.28361364</v>
      </c>
      <c r="F12" s="6">
        <f>AVERAGE(월별지수!AA12:AL12)</f>
        <v>41.98411724</v>
      </c>
      <c r="G12" s="8">
        <f>IFERROR(F12/D12-1,"")</f>
        <v>-0.5293273657</v>
      </c>
      <c r="H12" s="9">
        <f>IFERROR(STDEVP(월별지수!C12:AL12)/C12,"")</f>
        <v>0.5500493272</v>
      </c>
      <c r="I12" s="10">
        <f>IFERROR(MAX(월별지수!C12:AL12)/MEDIAN(월별지수!C12:AL12),"")</f>
        <v>4.315991894</v>
      </c>
      <c r="J12" s="11">
        <f>INDEX(계절_월별!$B$1:$M$1,MATCH(MAX(계절_월별!B12:M12),계절_월별!B12:M12,0))</f>
        <v>11</v>
      </c>
      <c r="K12" s="3" t="inlineStr">
        <is>
          <t>인천</t>
        </is>
      </c>
      <c r="L12" s="3" t="inlineStr">
        <is>
          <t>한의원</t>
        </is>
      </c>
    </row>
    <row r="13">
      <c r="A13" s="3" t="inlineStr">
        <is>
          <t>광주한의원</t>
        </is>
      </c>
      <c r="B13" s="3" t="inlineStr">
        <is>
          <t>지역명+진료과</t>
        </is>
      </c>
      <c r="C13" s="6">
        <f>AVERAGE(월별지수!C13:AL13)</f>
        <v>22.57945521</v>
      </c>
      <c r="D13" s="6">
        <f>AVERAGE(월별지수!C13:N13)</f>
        <v>21.1548922</v>
      </c>
      <c r="E13" s="6">
        <f>AVERAGE(월별지수!O13:Z13)</f>
        <v>23.11155337</v>
      </c>
      <c r="F13" s="6">
        <f>AVERAGE(월별지수!AA13:AL13)</f>
        <v>23.47192005</v>
      </c>
      <c r="G13" s="8">
        <f>IFERROR(F13/D13-1,"")</f>
        <v>0.1095268095</v>
      </c>
      <c r="H13" s="9">
        <f>IFERROR(STDEVP(월별지수!C13:AL13)/C13,"")</f>
        <v>0.2607488807</v>
      </c>
      <c r="I13" s="10">
        <f>IFERROR(MAX(월별지수!C13:AL13)/MEDIAN(월별지수!C13:AL13),"")</f>
        <v>2.075803717</v>
      </c>
      <c r="J13" s="11">
        <f>INDEX(계절_월별!$B$1:$M$1,MATCH(MAX(계절_월별!B13:M13),계절_월별!B13:M13,0))</f>
        <v>9</v>
      </c>
      <c r="K13" s="3" t="inlineStr">
        <is>
          <t>광주</t>
        </is>
      </c>
      <c r="L13" s="3" t="inlineStr">
        <is>
          <t>한의원</t>
        </is>
      </c>
    </row>
    <row r="14">
      <c r="A14" s="3" t="inlineStr">
        <is>
          <t>대전한의원</t>
        </is>
      </c>
      <c r="B14" s="3" t="inlineStr">
        <is>
          <t>지역명+진료과</t>
        </is>
      </c>
      <c r="C14" s="6">
        <f>AVERAGE(월별지수!C14:AL14)</f>
        <v>38.97393971</v>
      </c>
      <c r="D14" s="6">
        <f>AVERAGE(월별지수!C14:N14)</f>
        <v>32.04776882</v>
      </c>
      <c r="E14" s="6">
        <f>AVERAGE(월별지수!O14:Z14)</f>
        <v>40.64319713</v>
      </c>
      <c r="F14" s="6">
        <f>AVERAGE(월별지수!AA14:AL14)</f>
        <v>44.23085318</v>
      </c>
      <c r="G14" s="8">
        <f>IFERROR(F14/D14-1,"")</f>
        <v>0.3801539018</v>
      </c>
      <c r="H14" s="9">
        <f>IFERROR(STDEVP(월별지수!C14:AL14)/C14,"")</f>
        <v>0.3825895708</v>
      </c>
      <c r="I14" s="10">
        <f>IFERROR(MAX(월별지수!C14:AL14)/MEDIAN(월별지수!C14:AL14),"")</f>
        <v>2.916833012</v>
      </c>
      <c r="J14" s="11">
        <f>INDEX(계절_월별!$B$1:$M$1,MATCH(MAX(계절_월별!B14:M14),계절_월별!B14:M14,0))</f>
        <v>2</v>
      </c>
      <c r="K14" s="3" t="inlineStr">
        <is>
          <t>대전</t>
        </is>
      </c>
      <c r="L14" s="3" t="inlineStr">
        <is>
          <t>한의원</t>
        </is>
      </c>
    </row>
    <row r="15">
      <c r="A15" s="3" t="inlineStr">
        <is>
          <t>울산한의원</t>
        </is>
      </c>
      <c r="B15" s="3" t="inlineStr">
        <is>
          <t>지역명+진료과</t>
        </is>
      </c>
      <c r="C15" s="6">
        <f>AVERAGE(월별지수!C15:AL15)</f>
        <v>29.53617535</v>
      </c>
      <c r="D15" s="6">
        <f>AVERAGE(월별지수!C15:N15)</f>
        <v>27.32028531</v>
      </c>
      <c r="E15" s="6">
        <f>AVERAGE(월별지수!O15:Z15)</f>
        <v>34.63440956</v>
      </c>
      <c r="F15" s="6">
        <f>AVERAGE(월별지수!AA15:AL15)</f>
        <v>26.65383118</v>
      </c>
      <c r="G15" s="8">
        <f>IFERROR(F15/D15-1,"")</f>
        <v>-0.02439411344</v>
      </c>
      <c r="H15" s="9">
        <f>IFERROR(STDEVP(월별지수!C15:AL15)/C15,"")</f>
        <v>0.4961024117</v>
      </c>
      <c r="I15" s="10">
        <f>IFERROR(MAX(월별지수!C15:AL15)/MEDIAN(월별지수!C15:AL15),"")</f>
        <v>2.940716854</v>
      </c>
      <c r="J15" s="11">
        <f>INDEX(계절_월별!$B$1:$M$1,MATCH(MAX(계절_월별!B15:M15),계절_월별!B15:M15,0))</f>
        <v>8</v>
      </c>
      <c r="K15" s="3" t="inlineStr">
        <is>
          <t>울산</t>
        </is>
      </c>
      <c r="L15" s="3" t="inlineStr">
        <is>
          <t>한의원</t>
        </is>
      </c>
    </row>
    <row r="16">
      <c r="A16" s="3" t="inlineStr">
        <is>
          <t>서울피부과</t>
        </is>
      </c>
      <c r="B16" s="3" t="inlineStr">
        <is>
          <t>지역명+진료과</t>
        </is>
      </c>
      <c r="C16" s="6">
        <f>AVERAGE(월별지수!C16:AL16)</f>
        <v>100</v>
      </c>
      <c r="D16" s="6">
        <f>AVERAGE(월별지수!C16:N16)</f>
        <v>108.3166307</v>
      </c>
      <c r="E16" s="6">
        <f>AVERAGE(월별지수!O16:Z16)</f>
        <v>103.1308933</v>
      </c>
      <c r="F16" s="6">
        <f>AVERAGE(월별지수!AA16:AL16)</f>
        <v>88.55247597</v>
      </c>
      <c r="G16" s="8">
        <f>IFERROR(F16/D16-1,"")</f>
        <v>-0.1824664836</v>
      </c>
      <c r="H16" s="9">
        <f>IFERROR(STDEVP(월별지수!C16:AL16)/C16,"")</f>
        <v>0.1103612182</v>
      </c>
      <c r="I16" s="10">
        <f>IFERROR(MAX(월별지수!C16:AL16)/MEDIAN(월별지수!C16:AL16),"")</f>
        <v>1.191009216</v>
      </c>
      <c r="J16" s="11">
        <f>INDEX(계절_월별!$B$1:$M$1,MATCH(MAX(계절_월별!B16:M16),계절_월별!B16:M16,0))</f>
        <v>8</v>
      </c>
      <c r="K16" s="3" t="inlineStr">
        <is>
          <t>서울</t>
        </is>
      </c>
      <c r="L16" s="3" t="inlineStr">
        <is>
          <t>피부과</t>
        </is>
      </c>
    </row>
    <row r="17">
      <c r="A17" s="3" t="inlineStr">
        <is>
          <t>부산피부과</t>
        </is>
      </c>
      <c r="B17" s="3" t="inlineStr">
        <is>
          <t>지역명+진료과</t>
        </is>
      </c>
      <c r="C17" s="6">
        <f>AVERAGE(월별지수!C17:AL17)</f>
        <v>108.0689629</v>
      </c>
      <c r="D17" s="6">
        <f>AVERAGE(월별지수!C17:N17)</f>
        <v>86.58424375</v>
      </c>
      <c r="E17" s="6">
        <f>AVERAGE(월별지수!O17:Z17)</f>
        <v>128.0033578</v>
      </c>
      <c r="F17" s="6">
        <f>AVERAGE(월별지수!AA17:AL17)</f>
        <v>109.6192872</v>
      </c>
      <c r="G17" s="8">
        <f>IFERROR(F17/D17-1,"")</f>
        <v>0.2660419773</v>
      </c>
      <c r="H17" s="9">
        <f>IFERROR(STDEVP(월별지수!C17:AL17)/C17,"")</f>
        <v>0.4076635671</v>
      </c>
      <c r="I17" s="10">
        <f>IFERROR(MAX(월별지수!C17:AL17)/MEDIAN(월별지수!C17:AL17),"")</f>
        <v>2.864788154</v>
      </c>
      <c r="J17" s="11">
        <f>INDEX(계절_월별!$B$1:$M$1,MATCH(MAX(계절_월별!B17:M17),계절_월별!B17:M17,0))</f>
        <v>3</v>
      </c>
      <c r="K17" s="3" t="inlineStr">
        <is>
          <t>부산</t>
        </is>
      </c>
      <c r="L17" s="3" t="inlineStr">
        <is>
          <t>피부과</t>
        </is>
      </c>
    </row>
    <row r="18">
      <c r="A18" s="3" t="inlineStr">
        <is>
          <t>대구피부과</t>
        </is>
      </c>
      <c r="B18" s="3" t="inlineStr">
        <is>
          <t>지역명+진료과</t>
        </is>
      </c>
      <c r="C18" s="6">
        <f>AVERAGE(월별지수!C18:AL18)</f>
        <v>161.0278402</v>
      </c>
      <c r="D18" s="6">
        <f>AVERAGE(월별지수!C18:N18)</f>
        <v>146.0039276</v>
      </c>
      <c r="E18" s="6">
        <f>AVERAGE(월별지수!O18:Z18)</f>
        <v>172.6204036</v>
      </c>
      <c r="F18" s="6">
        <f>AVERAGE(월별지수!AA18:AL18)</f>
        <v>164.4591895</v>
      </c>
      <c r="G18" s="8">
        <f>IFERROR(F18/D18-1,"")</f>
        <v>0.126402503</v>
      </c>
      <c r="H18" s="9">
        <f>IFERROR(STDEVP(월별지수!C18:AL18)/C18,"")</f>
        <v>0.1878364647</v>
      </c>
      <c r="I18" s="10">
        <f>IFERROR(MAX(월별지수!C18:AL18)/MEDIAN(월별지수!C18:AL18),"")</f>
        <v>1.942638357</v>
      </c>
      <c r="J18" s="11">
        <f>INDEX(계절_월별!$B$1:$M$1,MATCH(MAX(계절_월별!B18:M18),계절_월별!B18:M18,0))</f>
        <v>4</v>
      </c>
      <c r="K18" s="3" t="inlineStr">
        <is>
          <t>대구</t>
        </is>
      </c>
      <c r="L18" s="3" t="inlineStr">
        <is>
          <t>피부과</t>
        </is>
      </c>
    </row>
    <row r="19">
      <c r="A19" s="3" t="inlineStr">
        <is>
          <t>인천피부과</t>
        </is>
      </c>
      <c r="B19" s="3" t="inlineStr">
        <is>
          <t>지역명+진료과</t>
        </is>
      </c>
      <c r="C19" s="6">
        <f>AVERAGE(월별지수!C19:AL19)</f>
        <v>83.78346231</v>
      </c>
      <c r="D19" s="6">
        <f>AVERAGE(월별지수!C19:N19)</f>
        <v>86.83783619</v>
      </c>
      <c r="E19" s="6">
        <f>AVERAGE(월별지수!O19:Z19)</f>
        <v>93.26126726</v>
      </c>
      <c r="F19" s="6">
        <f>AVERAGE(월별지수!AA19:AL19)</f>
        <v>71.25128347</v>
      </c>
      <c r="G19" s="8">
        <f>IFERROR(F19/D19-1,"")</f>
        <v>-0.1794903398</v>
      </c>
      <c r="H19" s="9">
        <f>IFERROR(STDEVP(월별지수!C19:AL19)/C19,"")</f>
        <v>0.3235580971</v>
      </c>
      <c r="I19" s="10">
        <f>IFERROR(MAX(월별지수!C19:AL19)/MEDIAN(월별지수!C19:AL19),"")</f>
        <v>2.327402269</v>
      </c>
      <c r="J19" s="11">
        <f>INDEX(계절_월별!$B$1:$M$1,MATCH(MAX(계절_월별!B19:M19),계절_월별!B19:M19,0))</f>
        <v>4</v>
      </c>
      <c r="K19" s="3" t="inlineStr">
        <is>
          <t>인천</t>
        </is>
      </c>
      <c r="L19" s="3" t="inlineStr">
        <is>
          <t>피부과</t>
        </is>
      </c>
    </row>
    <row r="20">
      <c r="A20" s="3" t="inlineStr">
        <is>
          <t>광주피부과</t>
        </is>
      </c>
      <c r="B20" s="3" t="inlineStr">
        <is>
          <t>지역명+진료과</t>
        </is>
      </c>
      <c r="C20" s="6">
        <f>AVERAGE(월별지수!C20:AL20)</f>
        <v>139.6504969</v>
      </c>
      <c r="D20" s="6">
        <f>AVERAGE(월별지수!C20:N20)</f>
        <v>126.7523099</v>
      </c>
      <c r="E20" s="6">
        <f>AVERAGE(월별지수!O20:Z20)</f>
        <v>131.0802739</v>
      </c>
      <c r="F20" s="6">
        <f>AVERAGE(월별지수!AA20:AL20)</f>
        <v>161.1189071</v>
      </c>
      <c r="G20" s="8">
        <f>IFERROR(F20/D20-1,"")</f>
        <v>0.2711319203</v>
      </c>
      <c r="H20" s="9">
        <f>IFERROR(STDEVP(월별지수!C20:AL20)/C20,"")</f>
        <v>0.267107236</v>
      </c>
      <c r="I20" s="10">
        <f>IFERROR(MAX(월별지수!C20:AL20)/MEDIAN(월별지수!C20:AL20),"")</f>
        <v>1.998036234</v>
      </c>
      <c r="J20" s="11">
        <f>INDEX(계절_월별!$B$1:$M$1,MATCH(MAX(계절_월별!B20:M20),계절_월별!B20:M20,0))</f>
        <v>2</v>
      </c>
      <c r="K20" s="3" t="inlineStr">
        <is>
          <t>광주</t>
        </is>
      </c>
      <c r="L20" s="3" t="inlineStr">
        <is>
          <t>피부과</t>
        </is>
      </c>
    </row>
    <row r="21">
      <c r="A21" s="3" t="inlineStr">
        <is>
          <t>대전피부과</t>
        </is>
      </c>
      <c r="B21" s="3" t="inlineStr">
        <is>
          <t>지역명+진료과</t>
        </is>
      </c>
      <c r="C21" s="6">
        <f>AVERAGE(월별지수!C21:AL21)</f>
        <v>233.8271085</v>
      </c>
      <c r="D21" s="6">
        <f>AVERAGE(월별지수!C21:N21)</f>
        <v>174.4667383</v>
      </c>
      <c r="E21" s="6">
        <f>AVERAGE(월별지수!O21:Z21)</f>
        <v>300.9387944</v>
      </c>
      <c r="F21" s="6">
        <f>AVERAGE(월별지수!AA21:AL21)</f>
        <v>226.0757927</v>
      </c>
      <c r="G21" s="8">
        <f>IFERROR(F21/D21-1,"")</f>
        <v>0.2958102781</v>
      </c>
      <c r="H21" s="9">
        <f>IFERROR(STDEVP(월별지수!C21:AL21)/C21,"")</f>
        <v>0.375231667</v>
      </c>
      <c r="I21" s="10">
        <f>IFERROR(MAX(월별지수!C21:AL21)/MEDIAN(월별지수!C21:AL21),"")</f>
        <v>2.633808674</v>
      </c>
      <c r="J21" s="11">
        <f>INDEX(계절_월별!$B$1:$M$1,MATCH(MAX(계절_월별!B21:M21),계절_월별!B21:M21,0))</f>
        <v>4</v>
      </c>
      <c r="K21" s="3" t="inlineStr">
        <is>
          <t>대전</t>
        </is>
      </c>
      <c r="L21" s="3" t="inlineStr">
        <is>
          <t>피부과</t>
        </is>
      </c>
    </row>
    <row r="22">
      <c r="A22" s="3" t="inlineStr">
        <is>
          <t>울산피부과</t>
        </is>
      </c>
      <c r="B22" s="3" t="inlineStr">
        <is>
          <t>지역명+진료과</t>
        </is>
      </c>
      <c r="C22" s="6">
        <f>AVERAGE(월별지수!C22:AL22)</f>
        <v>135.8027242</v>
      </c>
      <c r="D22" s="6">
        <f>AVERAGE(월별지수!C22:N22)</f>
        <v>113.6892149</v>
      </c>
      <c r="E22" s="6">
        <f>AVERAGE(월별지수!O22:Z22)</f>
        <v>146.8109801</v>
      </c>
      <c r="F22" s="6">
        <f>AVERAGE(월별지수!AA22:AL22)</f>
        <v>146.9079776</v>
      </c>
      <c r="G22" s="8">
        <f>IFERROR(F22/D22-1,"")</f>
        <v>0.2921892175</v>
      </c>
      <c r="H22" s="9">
        <f>IFERROR(STDEVP(월별지수!C22:AL22)/C22,"")</f>
        <v>0.212822763</v>
      </c>
      <c r="I22" s="10">
        <f>IFERROR(MAX(월별지수!C22:AL22)/MEDIAN(월별지수!C22:AL22),"")</f>
        <v>1.481512723</v>
      </c>
      <c r="J22" s="11">
        <f>INDEX(계절_월별!$B$1:$M$1,MATCH(MAX(계절_월별!B22:M22),계절_월별!B22:M22,0))</f>
        <v>8</v>
      </c>
      <c r="K22" s="3" t="inlineStr">
        <is>
          <t>울산</t>
        </is>
      </c>
      <c r="L22" s="3" t="inlineStr">
        <is>
          <t>피부과</t>
        </is>
      </c>
    </row>
    <row r="23">
      <c r="A23" s="3" t="inlineStr">
        <is>
          <t>서울정형외과</t>
        </is>
      </c>
      <c r="B23" s="3" t="inlineStr">
        <is>
          <t>지역명+진료과</t>
        </is>
      </c>
      <c r="C23" s="6">
        <f>AVERAGE(월별지수!C23:AL23)</f>
        <v>176.804219</v>
      </c>
      <c r="D23" s="6">
        <f>AVERAGE(월별지수!C23:N23)</f>
        <v>186.0705564</v>
      </c>
      <c r="E23" s="6">
        <f>AVERAGE(월별지수!O23:Z23)</f>
        <v>179.7930398</v>
      </c>
      <c r="F23" s="6">
        <f>AVERAGE(월별지수!AA23:AL23)</f>
        <v>164.5490607</v>
      </c>
      <c r="G23" s="8">
        <f>IFERROR(F23/D23-1,"")</f>
        <v>-0.1156630911</v>
      </c>
      <c r="H23" s="9">
        <f>IFERROR(STDEVP(월별지수!C23:AL23)/C23,"")</f>
        <v>0.08967493388</v>
      </c>
      <c r="I23" s="10">
        <f>IFERROR(MAX(월별지수!C23:AL23)/MEDIAN(월별지수!C23:AL23),"")</f>
        <v>1.197000338</v>
      </c>
      <c r="J23" s="11">
        <f>INDEX(계절_월별!$B$1:$M$1,MATCH(MAX(계절_월별!B23:M23),계절_월별!B23:M23,0))</f>
        <v>5</v>
      </c>
      <c r="K23" s="3" t="inlineStr">
        <is>
          <t>서울</t>
        </is>
      </c>
      <c r="L23" s="3" t="inlineStr">
        <is>
          <t>정형외과</t>
        </is>
      </c>
    </row>
    <row r="24">
      <c r="A24" s="3" t="inlineStr">
        <is>
          <t>부산정형외과</t>
        </is>
      </c>
      <c r="B24" s="3" t="inlineStr">
        <is>
          <t>지역명+진료과</t>
        </is>
      </c>
      <c r="C24" s="6">
        <f>AVERAGE(월별지수!C24:AL24)</f>
        <v>49.74314097</v>
      </c>
      <c r="D24" s="6">
        <f>AVERAGE(월별지수!C24:N24)</f>
        <v>44.93913173</v>
      </c>
      <c r="E24" s="6">
        <f>AVERAGE(월별지수!O24:Z24)</f>
        <v>48.45738619</v>
      </c>
      <c r="F24" s="6">
        <f>AVERAGE(월별지수!AA24:AL24)</f>
        <v>55.832905</v>
      </c>
      <c r="G24" s="8">
        <f>IFERROR(F24/D24-1,"")</f>
        <v>0.2424117435</v>
      </c>
      <c r="H24" s="9">
        <f>IFERROR(STDEVP(월별지수!C24:AL24)/C24,"")</f>
        <v>0.3219360385</v>
      </c>
      <c r="I24" s="10">
        <f>IFERROR(MAX(월별지수!C24:AL24)/MEDIAN(월별지수!C24:AL24),"")</f>
        <v>2.348837227</v>
      </c>
      <c r="J24" s="11">
        <f>INDEX(계절_월별!$B$1:$M$1,MATCH(MAX(계절_월별!B24:M24),계절_월별!B24:M24,0))</f>
        <v>3</v>
      </c>
      <c r="K24" s="3" t="inlineStr">
        <is>
          <t>부산</t>
        </is>
      </c>
      <c r="L24" s="3" t="inlineStr">
        <is>
          <t>정형외과</t>
        </is>
      </c>
    </row>
    <row r="25">
      <c r="A25" s="3" t="inlineStr">
        <is>
          <t>대구정형외과</t>
        </is>
      </c>
      <c r="B25" s="3" t="inlineStr">
        <is>
          <t>지역명+진료과</t>
        </is>
      </c>
      <c r="C25" s="6">
        <f>AVERAGE(월별지수!C25:AL25)</f>
        <v>65.17042374</v>
      </c>
      <c r="D25" s="6">
        <f>AVERAGE(월별지수!C25:N25)</f>
        <v>51.31808021</v>
      </c>
      <c r="E25" s="6">
        <f>AVERAGE(월별지수!O25:Z25)</f>
        <v>76.63722243</v>
      </c>
      <c r="F25" s="6">
        <f>AVERAGE(월별지수!AA25:AL25)</f>
        <v>67.5559686</v>
      </c>
      <c r="G25" s="8">
        <f>IFERROR(F25/D25-1,"")</f>
        <v>0.3164165206</v>
      </c>
      <c r="H25" s="9">
        <f>IFERROR(STDEVP(월별지수!C25:AL25)/C25,"")</f>
        <v>0.3958978599</v>
      </c>
      <c r="I25" s="10">
        <f>IFERROR(MAX(월별지수!C25:AL25)/MEDIAN(월별지수!C25:AL25),"")</f>
        <v>2.96962901</v>
      </c>
      <c r="J25" s="11">
        <f>INDEX(계절_월별!$B$1:$M$1,MATCH(MAX(계절_월별!B25:M25),계절_월별!B25:M25,0))</f>
        <v>6</v>
      </c>
      <c r="K25" s="3" t="inlineStr">
        <is>
          <t>대구</t>
        </is>
      </c>
      <c r="L25" s="3" t="inlineStr">
        <is>
          <t>정형외과</t>
        </is>
      </c>
    </row>
    <row r="26">
      <c r="A26" s="3" t="inlineStr">
        <is>
          <t>인천정형외과</t>
        </is>
      </c>
      <c r="B26" s="3" t="inlineStr">
        <is>
          <t>지역명+진료과</t>
        </is>
      </c>
      <c r="C26" s="6">
        <f>AVERAGE(월별지수!C26:AL26)</f>
        <v>31.37508424</v>
      </c>
      <c r="D26" s="6">
        <f>AVERAGE(월별지수!C26:N26)</f>
        <v>32.97137722</v>
      </c>
      <c r="E26" s="6">
        <f>AVERAGE(월별지수!O26:Z26)</f>
        <v>34.37013748</v>
      </c>
      <c r="F26" s="6">
        <f>AVERAGE(월별지수!AA26:AL26)</f>
        <v>26.78373803</v>
      </c>
      <c r="G26" s="8">
        <f>IFERROR(F26/D26-1,"")</f>
        <v>-0.1876669922</v>
      </c>
      <c r="H26" s="9">
        <f>IFERROR(STDEVP(월별지수!C26:AL26)/C26,"")</f>
        <v>0.2616676302</v>
      </c>
      <c r="I26" s="10">
        <f>IFERROR(MAX(월별지수!C26:AL26)/MEDIAN(월별지수!C26:AL26),"")</f>
        <v>1.98459891</v>
      </c>
      <c r="J26" s="11">
        <f>INDEX(계절_월별!$B$1:$M$1,MATCH(MAX(계절_월별!B26:M26),계절_월별!B26:M26,0))</f>
        <v>3</v>
      </c>
      <c r="K26" s="3" t="inlineStr">
        <is>
          <t>인천</t>
        </is>
      </c>
      <c r="L26" s="3" t="inlineStr">
        <is>
          <t>정형외과</t>
        </is>
      </c>
    </row>
    <row r="27">
      <c r="A27" s="3" t="inlineStr">
        <is>
          <t>광주정형외과</t>
        </is>
      </c>
      <c r="B27" s="3" t="inlineStr">
        <is>
          <t>지역명+진료과</t>
        </is>
      </c>
      <c r="C27" s="6">
        <f>AVERAGE(월별지수!C27:AL27)</f>
        <v>46.58169721</v>
      </c>
      <c r="D27" s="6">
        <f>AVERAGE(월별지수!C27:N27)</f>
        <v>46.16794139</v>
      </c>
      <c r="E27" s="6">
        <f>AVERAGE(월별지수!O27:Z27)</f>
        <v>48.46094667</v>
      </c>
      <c r="F27" s="6">
        <f>AVERAGE(월별지수!AA27:AL27)</f>
        <v>45.11620355</v>
      </c>
      <c r="G27" s="8">
        <f>IFERROR(F27/D27-1,"")</f>
        <v>-0.02278069607</v>
      </c>
      <c r="H27" s="9">
        <f>IFERROR(STDEVP(월별지수!C27:AL27)/C27,"")</f>
        <v>0.2010322342</v>
      </c>
      <c r="I27" s="10">
        <f>IFERROR(MAX(월별지수!C27:AL27)/MEDIAN(월별지수!C27:AL27),"")</f>
        <v>1.864184001</v>
      </c>
      <c r="J27" s="11">
        <f>INDEX(계절_월별!$B$1:$M$1,MATCH(MAX(계절_월별!B27:M27),계절_월별!B27:M27,0))</f>
        <v>5</v>
      </c>
      <c r="K27" s="3" t="inlineStr">
        <is>
          <t>광주</t>
        </is>
      </c>
      <c r="L27" s="3" t="inlineStr">
        <is>
          <t>정형외과</t>
        </is>
      </c>
    </row>
    <row r="28">
      <c r="A28" s="3" t="inlineStr">
        <is>
          <t>대전정형외과</t>
        </is>
      </c>
      <c r="B28" s="3" t="inlineStr">
        <is>
          <t>지역명+진료과</t>
        </is>
      </c>
      <c r="C28" s="6">
        <f>AVERAGE(월별지수!C28:AL28)</f>
        <v>76.35367375</v>
      </c>
      <c r="D28" s="6">
        <f>AVERAGE(월별지수!C28:N28)</f>
        <v>67.62981824</v>
      </c>
      <c r="E28" s="6">
        <f>AVERAGE(월별지수!O28:Z28)</f>
        <v>80.09852845</v>
      </c>
      <c r="F28" s="6">
        <f>AVERAGE(월별지수!AA28:AL28)</f>
        <v>81.33267458</v>
      </c>
      <c r="G28" s="8">
        <f>IFERROR(F28/D28-1,"")</f>
        <v>0.2026156021</v>
      </c>
      <c r="H28" s="9">
        <f>IFERROR(STDEVP(월별지수!C28:AL28)/C28,"")</f>
        <v>0.2706836439</v>
      </c>
      <c r="I28" s="10">
        <f>IFERROR(MAX(월별지수!C28:AL28)/MEDIAN(월별지수!C28:AL28),"")</f>
        <v>1.864733013</v>
      </c>
      <c r="J28" s="11">
        <f>INDEX(계절_월별!$B$1:$M$1,MATCH(MAX(계절_월별!B28:M28),계절_월별!B28:M28,0))</f>
        <v>4</v>
      </c>
      <c r="K28" s="3" t="inlineStr">
        <is>
          <t>대전</t>
        </is>
      </c>
      <c r="L28" s="3" t="inlineStr">
        <is>
          <t>정형외과</t>
        </is>
      </c>
    </row>
    <row r="29">
      <c r="A29" s="3" t="inlineStr">
        <is>
          <t>울산정형외과</t>
        </is>
      </c>
      <c r="B29" s="3" t="inlineStr">
        <is>
          <t>지역명+진료과</t>
        </is>
      </c>
      <c r="C29" s="6">
        <f>AVERAGE(월별지수!C29:AL29)</f>
        <v>45.46203681</v>
      </c>
      <c r="D29" s="6">
        <f>AVERAGE(월별지수!C29:N29)</f>
        <v>43.41046113</v>
      </c>
      <c r="E29" s="6">
        <f>AVERAGE(월별지수!O29:Z29)</f>
        <v>42.56515915</v>
      </c>
      <c r="F29" s="6">
        <f>AVERAGE(월별지수!AA29:AL29)</f>
        <v>50.41049017</v>
      </c>
      <c r="G29" s="8">
        <f>IFERROR(F29/D29-1,"")</f>
        <v>0.1612521237</v>
      </c>
      <c r="H29" s="9">
        <f>IFERROR(STDEVP(월별지수!C29:AL29)/C29,"")</f>
        <v>0.1714098905</v>
      </c>
      <c r="I29" s="10">
        <f>IFERROR(MAX(월별지수!C29:AL29)/MEDIAN(월별지수!C29:AL29),"")</f>
        <v>1.671993308</v>
      </c>
      <c r="J29" s="11">
        <f>INDEX(계절_월별!$B$1:$M$1,MATCH(MAX(계절_월별!B29:M29),계절_월별!B29:M29,0))</f>
        <v>3</v>
      </c>
      <c r="K29" s="3" t="inlineStr">
        <is>
          <t>울산</t>
        </is>
      </c>
      <c r="L29" s="3" t="inlineStr">
        <is>
          <t>정형외과</t>
        </is>
      </c>
    </row>
    <row r="30">
      <c r="A30" s="3" t="inlineStr">
        <is>
          <t>서울안과</t>
        </is>
      </c>
      <c r="B30" s="3" t="inlineStr">
        <is>
          <t>지역명+진료과</t>
        </is>
      </c>
      <c r="C30" s="6">
        <f>AVERAGE(월별지수!C30:AL30)</f>
        <v>214.5099136</v>
      </c>
      <c r="D30" s="6">
        <f>AVERAGE(월별지수!C30:N30)</f>
        <v>231.1422788</v>
      </c>
      <c r="E30" s="6">
        <f>AVERAGE(월별지수!O30:Z30)</f>
        <v>215.8306662</v>
      </c>
      <c r="F30" s="6">
        <f>AVERAGE(월별지수!AA30:AL30)</f>
        <v>196.5567957</v>
      </c>
      <c r="G30" s="8">
        <f>IFERROR(F30/D30-1,"")</f>
        <v>-0.1496285464</v>
      </c>
      <c r="H30" s="9">
        <f>IFERROR(STDEVP(월별지수!C30:AL30)/C30,"")</f>
        <v>0.1128142987</v>
      </c>
      <c r="I30" s="10">
        <f>IFERROR(MAX(월별지수!C30:AL30)/MEDIAN(월별지수!C30:AL30),"")</f>
        <v>1.347307426</v>
      </c>
      <c r="J30" s="11">
        <f>INDEX(계절_월별!$B$1:$M$1,MATCH(MAX(계절_월별!B30:M30),계절_월별!B30:M30,0))</f>
        <v>8</v>
      </c>
      <c r="K30" s="3" t="inlineStr">
        <is>
          <t>서울</t>
        </is>
      </c>
      <c r="L30" s="3" t="inlineStr">
        <is>
          <t>안과</t>
        </is>
      </c>
    </row>
    <row r="31">
      <c r="A31" s="3" t="inlineStr">
        <is>
          <t>부산안과</t>
        </is>
      </c>
      <c r="B31" s="3" t="inlineStr">
        <is>
          <t>지역명+진료과</t>
        </is>
      </c>
      <c r="C31" s="6">
        <f>AVERAGE(월별지수!C31:AL31)</f>
        <v>48.557045</v>
      </c>
      <c r="D31" s="6">
        <f>AVERAGE(월별지수!C31:N31)</f>
        <v>36.36327977</v>
      </c>
      <c r="E31" s="6">
        <f>AVERAGE(월별지수!O31:Z31)</f>
        <v>57.56534069</v>
      </c>
      <c r="F31" s="6">
        <f>AVERAGE(월별지수!AA31:AL31)</f>
        <v>51.74251454</v>
      </c>
      <c r="G31" s="8">
        <f>IFERROR(F31/D31-1,"")</f>
        <v>0.4229331036</v>
      </c>
      <c r="H31" s="9">
        <f>IFERROR(STDEVP(월별지수!C31:AL31)/C31,"")</f>
        <v>0.405797243</v>
      </c>
      <c r="I31" s="10">
        <f>IFERROR(MAX(월별지수!C31:AL31)/MEDIAN(월별지수!C31:AL31),"")</f>
        <v>2.63512298</v>
      </c>
      <c r="J31" s="11">
        <f>INDEX(계절_월별!$B$1:$M$1,MATCH(MAX(계절_월별!B31:M31),계절_월별!B31:M31,0))</f>
        <v>7</v>
      </c>
      <c r="K31" s="3" t="inlineStr">
        <is>
          <t>부산</t>
        </is>
      </c>
      <c r="L31" s="3" t="inlineStr">
        <is>
          <t>안과</t>
        </is>
      </c>
    </row>
    <row r="32">
      <c r="A32" s="3" t="inlineStr">
        <is>
          <t>대구안과</t>
        </is>
      </c>
      <c r="B32" s="3" t="inlineStr">
        <is>
          <t>지역명+진료과</t>
        </is>
      </c>
      <c r="C32" s="6">
        <f>AVERAGE(월별지수!C32:AL32)</f>
        <v>66.48791312</v>
      </c>
      <c r="D32" s="6">
        <f>AVERAGE(월별지수!C32:N32)</f>
        <v>67.98484859</v>
      </c>
      <c r="E32" s="6">
        <f>AVERAGE(월별지수!O32:Z32)</f>
        <v>66.795187</v>
      </c>
      <c r="F32" s="6">
        <f>AVERAGE(월별지수!AA32:AL32)</f>
        <v>64.68370377</v>
      </c>
      <c r="G32" s="8">
        <f>IFERROR(F32/D32-1,"")</f>
        <v>-0.04855706661</v>
      </c>
      <c r="H32" s="9">
        <f>IFERROR(STDEVP(월별지수!C32:AL32)/C32,"")</f>
        <v>0.07536142129</v>
      </c>
      <c r="I32" s="10">
        <f>IFERROR(MAX(월별지수!C32:AL32)/MEDIAN(월별지수!C32:AL32),"")</f>
        <v>1.138946499</v>
      </c>
      <c r="J32" s="11">
        <f>INDEX(계절_월별!$B$1:$M$1,MATCH(MAX(계절_월별!B32:M32),계절_월별!B32:M32,0))</f>
        <v>8</v>
      </c>
      <c r="K32" s="3" t="inlineStr">
        <is>
          <t>대구</t>
        </is>
      </c>
      <c r="L32" s="3" t="inlineStr">
        <is>
          <t>안과</t>
        </is>
      </c>
    </row>
    <row r="33">
      <c r="A33" s="3" t="inlineStr">
        <is>
          <t>인천안과</t>
        </is>
      </c>
      <c r="B33" s="3" t="inlineStr">
        <is>
          <t>지역명+진료과</t>
        </is>
      </c>
      <c r="C33" s="6">
        <f>AVERAGE(월별지수!C33:AL33)</f>
        <v>19.45211806</v>
      </c>
      <c r="D33" s="6">
        <f>AVERAGE(월별지수!C33:N33)</f>
        <v>18.64922638</v>
      </c>
      <c r="E33" s="6">
        <f>AVERAGE(월별지수!O33:Z33)</f>
        <v>22.72537989</v>
      </c>
      <c r="F33" s="6">
        <f>AVERAGE(월별지수!AA33:AL33)</f>
        <v>16.98174792</v>
      </c>
      <c r="G33" s="8">
        <f>IFERROR(F33/D33-1,"")</f>
        <v>-0.08941274195</v>
      </c>
      <c r="H33" s="9">
        <f>IFERROR(STDEVP(월별지수!C33:AL33)/C33,"")</f>
        <v>0.410816213</v>
      </c>
      <c r="I33" s="10">
        <f>IFERROR(MAX(월별지수!C33:AL33)/MEDIAN(월별지수!C33:AL33),"")</f>
        <v>3.567421417</v>
      </c>
      <c r="J33" s="11">
        <f>INDEX(계절_월별!$B$1:$M$1,MATCH(MAX(계절_월별!B33:M33),계절_월별!B33:M33,0))</f>
        <v>7</v>
      </c>
      <c r="K33" s="3" t="inlineStr">
        <is>
          <t>인천</t>
        </is>
      </c>
      <c r="L33" s="3" t="inlineStr">
        <is>
          <t>안과</t>
        </is>
      </c>
    </row>
    <row r="34">
      <c r="A34" s="3" t="inlineStr">
        <is>
          <t>광주안과</t>
        </is>
      </c>
      <c r="B34" s="3" t="inlineStr">
        <is>
          <t>지역명+진료과</t>
        </is>
      </c>
      <c r="C34" s="6">
        <f>AVERAGE(월별지수!C34:AL34)</f>
        <v>132.0789211</v>
      </c>
      <c r="D34" s="6">
        <f>AVERAGE(월별지수!C34:N34)</f>
        <v>129.6361353</v>
      </c>
      <c r="E34" s="6">
        <f>AVERAGE(월별지수!O34:Z34)</f>
        <v>134.5202242</v>
      </c>
      <c r="F34" s="6">
        <f>AVERAGE(월별지수!AA34:AL34)</f>
        <v>132.0804037</v>
      </c>
      <c r="G34" s="8">
        <f>IFERROR(F34/D34-1,"")</f>
        <v>0.01885483831</v>
      </c>
      <c r="H34" s="9">
        <f>IFERROR(STDEVP(월별지수!C34:AL34)/C34,"")</f>
        <v>0.0852822752</v>
      </c>
      <c r="I34" s="10">
        <f>IFERROR(MAX(월별지수!C34:AL34)/MEDIAN(월별지수!C34:AL34),"")</f>
        <v>1.220491491</v>
      </c>
      <c r="J34" s="11">
        <f>INDEX(계절_월별!$B$1:$M$1,MATCH(MAX(계절_월별!B34:M34),계절_월별!B34:M34,0))</f>
        <v>1</v>
      </c>
      <c r="K34" s="3" t="inlineStr">
        <is>
          <t>광주</t>
        </is>
      </c>
      <c r="L34" s="3" t="inlineStr">
        <is>
          <t>안과</t>
        </is>
      </c>
    </row>
    <row r="35">
      <c r="A35" s="3" t="inlineStr">
        <is>
          <t>대전안과</t>
        </is>
      </c>
      <c r="B35" s="3" t="inlineStr">
        <is>
          <t>지역명+진료과</t>
        </is>
      </c>
      <c r="C35" s="6">
        <f>AVERAGE(월별지수!C35:AL35)</f>
        <v>54.98492826</v>
      </c>
      <c r="D35" s="6">
        <f>AVERAGE(월별지수!C35:N35)</f>
        <v>64.38473015</v>
      </c>
      <c r="E35" s="6">
        <f>AVERAGE(월별지수!O35:Z35)</f>
        <v>51.70336177</v>
      </c>
      <c r="F35" s="6">
        <f>AVERAGE(월별지수!AA35:AL35)</f>
        <v>48.86669287</v>
      </c>
      <c r="G35" s="8">
        <f>IFERROR(F35/D35-1,"")</f>
        <v>-0.2410204601</v>
      </c>
      <c r="H35" s="9">
        <f>IFERROR(STDEVP(월별지수!C35:AL35)/C35,"")</f>
        <v>0.1702794496</v>
      </c>
      <c r="I35" s="10">
        <f>IFERROR(MAX(월별지수!C35:AL35)/MEDIAN(월별지수!C35:AL35),"")</f>
        <v>1.450511885</v>
      </c>
      <c r="J35" s="11">
        <f>INDEX(계절_월별!$B$1:$M$1,MATCH(MAX(계절_월별!B35:M35),계절_월별!B35:M35,0))</f>
        <v>10</v>
      </c>
      <c r="K35" s="3" t="inlineStr">
        <is>
          <t>대전</t>
        </is>
      </c>
      <c r="L35" s="3" t="inlineStr">
        <is>
          <t>안과</t>
        </is>
      </c>
    </row>
    <row r="36">
      <c r="A36" s="3" t="inlineStr">
        <is>
          <t>울산안과</t>
        </is>
      </c>
      <c r="B36" s="3" t="inlineStr">
        <is>
          <t>지역명+진료과</t>
        </is>
      </c>
      <c r="C36" s="6">
        <f>AVERAGE(월별지수!C36:AL36)</f>
        <v>42.86234949</v>
      </c>
      <c r="D36" s="6">
        <f>AVERAGE(월별지수!C36:N36)</f>
        <v>43.94790047</v>
      </c>
      <c r="E36" s="6">
        <f>AVERAGE(월별지수!O36:Z36)</f>
        <v>38.02007965</v>
      </c>
      <c r="F36" s="6">
        <f>AVERAGE(월별지수!AA36:AL36)</f>
        <v>46.61906835</v>
      </c>
      <c r="G36" s="8">
        <f>IFERROR(F36/D36-1,"")</f>
        <v>0.06078032977</v>
      </c>
      <c r="H36" s="9">
        <f>IFERROR(STDEVP(월별지수!C36:AL36)/C36,"")</f>
        <v>0.2456784153</v>
      </c>
      <c r="I36" s="10">
        <f>IFERROR(MAX(월별지수!C36:AL36)/MEDIAN(월별지수!C36:AL36),"")</f>
        <v>1.802249299</v>
      </c>
      <c r="J36" s="11">
        <f>INDEX(계절_월별!$B$1:$M$1,MATCH(MAX(계절_월별!B36:M36),계절_월별!B36:M36,0))</f>
        <v>3</v>
      </c>
      <c r="K36" s="3" t="inlineStr">
        <is>
          <t>울산</t>
        </is>
      </c>
      <c r="L36" s="3" t="inlineStr">
        <is>
          <t>안과</t>
        </is>
      </c>
    </row>
    <row r="37">
      <c r="A37" s="3" t="inlineStr">
        <is>
          <t>서울내과</t>
        </is>
      </c>
      <c r="B37" s="3" t="inlineStr">
        <is>
          <t>지역명+진료과</t>
        </is>
      </c>
      <c r="C37" s="6">
        <f>AVERAGE(월별지수!C37:AL37)</f>
        <v>76.40765532</v>
      </c>
      <c r="D37" s="6">
        <f>AVERAGE(월별지수!C37:N37)</f>
        <v>88.66459438</v>
      </c>
      <c r="E37" s="6">
        <f>AVERAGE(월별지수!O37:Z37)</f>
        <v>75.01156556</v>
      </c>
      <c r="F37" s="6">
        <f>AVERAGE(월별지수!AA37:AL37)</f>
        <v>65.54680602</v>
      </c>
      <c r="G37" s="8">
        <f>IFERROR(F37/D37-1,"")</f>
        <v>-0.2607330302</v>
      </c>
      <c r="H37" s="9">
        <f>IFERROR(STDEVP(월별지수!C37:AL37)/C37,"")</f>
        <v>0.1890664975</v>
      </c>
      <c r="I37" s="10">
        <f>IFERROR(MAX(월별지수!C37:AL37)/MEDIAN(월별지수!C37:AL37),"")</f>
        <v>1.564690147</v>
      </c>
      <c r="J37" s="11">
        <f>INDEX(계절_월별!$B$1:$M$1,MATCH(MAX(계절_월별!B37:M37),계절_월별!B37:M37,0))</f>
        <v>12</v>
      </c>
      <c r="K37" s="3" t="inlineStr">
        <is>
          <t>서울</t>
        </is>
      </c>
      <c r="L37" s="3" t="inlineStr">
        <is>
          <t>내과</t>
        </is>
      </c>
    </row>
    <row r="38">
      <c r="A38" s="3" t="inlineStr">
        <is>
          <t>부산내과</t>
        </is>
      </c>
      <c r="B38" s="3" t="inlineStr">
        <is>
          <t>지역명+진료과</t>
        </is>
      </c>
      <c r="C38" s="6">
        <f>AVERAGE(월별지수!C38:AL38)</f>
        <v>19.57016555</v>
      </c>
      <c r="D38" s="6">
        <f>AVERAGE(월별지수!C38:N38)</f>
        <v>22.33298083</v>
      </c>
      <c r="E38" s="6">
        <f>AVERAGE(월별지수!O38:Z38)</f>
        <v>19.20267997</v>
      </c>
      <c r="F38" s="6">
        <f>AVERAGE(월별지수!AA38:AL38)</f>
        <v>17.17483586</v>
      </c>
      <c r="G38" s="8">
        <f>IFERROR(F38/D38-1,"")</f>
        <v>-0.2309653605</v>
      </c>
      <c r="H38" s="9">
        <f>IFERROR(STDEVP(월별지수!C38:AL38)/C38,"")</f>
        <v>0.1878028644</v>
      </c>
      <c r="I38" s="10">
        <f>IFERROR(MAX(월별지수!C38:AL38)/MEDIAN(월별지수!C38:AL38),"")</f>
        <v>1.510434316</v>
      </c>
      <c r="J38" s="11">
        <f>INDEX(계절_월별!$B$1:$M$1,MATCH(MAX(계절_월별!B38:M38),계절_월별!B38:M38,0))</f>
        <v>1</v>
      </c>
      <c r="K38" s="3" t="inlineStr">
        <is>
          <t>부산</t>
        </is>
      </c>
      <c r="L38" s="3" t="inlineStr">
        <is>
          <t>내과</t>
        </is>
      </c>
    </row>
    <row r="39">
      <c r="A39" s="3" t="inlineStr">
        <is>
          <t>대구내과</t>
        </is>
      </c>
      <c r="B39" s="3" t="inlineStr">
        <is>
          <t>지역명+진료과</t>
        </is>
      </c>
      <c r="C39" s="6">
        <f>AVERAGE(월별지수!C39:AL39)</f>
        <v>22.89829749</v>
      </c>
      <c r="D39" s="6">
        <f>AVERAGE(월별지수!C39:N39)</f>
        <v>25.85123398</v>
      </c>
      <c r="E39" s="6">
        <f>AVERAGE(월별지수!O39:Z39)</f>
        <v>21.95926532</v>
      </c>
      <c r="F39" s="6">
        <f>AVERAGE(월별지수!AA39:AL39)</f>
        <v>20.88439317</v>
      </c>
      <c r="G39" s="8">
        <f>IFERROR(F39/D39-1,"")</f>
        <v>-0.1921316721</v>
      </c>
      <c r="H39" s="9">
        <f>IFERROR(STDEVP(월별지수!C39:AL39)/C39,"")</f>
        <v>0.2132853354</v>
      </c>
      <c r="I39" s="10">
        <f>IFERROR(MAX(월별지수!C39:AL39)/MEDIAN(월별지수!C39:AL39),"")</f>
        <v>1.569781822</v>
      </c>
      <c r="J39" s="11">
        <f>INDEX(계절_월별!$B$1:$M$1,MATCH(MAX(계절_월별!B39:M39),계절_월별!B39:M39,0))</f>
        <v>1</v>
      </c>
      <c r="K39" s="3" t="inlineStr">
        <is>
          <t>대구</t>
        </is>
      </c>
      <c r="L39" s="3" t="inlineStr">
        <is>
          <t>내과</t>
        </is>
      </c>
    </row>
    <row r="40">
      <c r="A40" s="3" t="inlineStr">
        <is>
          <t>인천내과</t>
        </is>
      </c>
      <c r="B40" s="3" t="inlineStr">
        <is>
          <t>지역명+진료과</t>
        </is>
      </c>
      <c r="C40" s="6">
        <f>AVERAGE(월별지수!C40:AL40)</f>
        <v>11.58246758</v>
      </c>
      <c r="D40" s="6">
        <f>AVERAGE(월별지수!C40:N40)</f>
        <v>13.04084174</v>
      </c>
      <c r="E40" s="6">
        <f>AVERAGE(월별지수!O40:Z40)</f>
        <v>10.17125307</v>
      </c>
      <c r="F40" s="6">
        <f>AVERAGE(월별지수!AA40:AL40)</f>
        <v>11.53530794</v>
      </c>
      <c r="G40" s="8">
        <f>IFERROR(F40/D40-1,"")</f>
        <v>-0.1154475941</v>
      </c>
      <c r="H40" s="9">
        <f>IFERROR(STDEVP(월별지수!C40:AL40)/C40,"")</f>
        <v>0.2397652038</v>
      </c>
      <c r="I40" s="10">
        <f>IFERROR(MAX(월별지수!C40:AL40)/MEDIAN(월별지수!C40:AL40),"")</f>
        <v>1.438612375</v>
      </c>
      <c r="J40" s="11">
        <f>INDEX(계절_월별!$B$1:$M$1,MATCH(MAX(계절_월별!B40:M40),계절_월별!B40:M40,0))</f>
        <v>1</v>
      </c>
      <c r="K40" s="3" t="inlineStr">
        <is>
          <t>인천</t>
        </is>
      </c>
      <c r="L40" s="3" t="inlineStr">
        <is>
          <t>내과</t>
        </is>
      </c>
    </row>
    <row r="41">
      <c r="A41" s="3" t="inlineStr">
        <is>
          <t>광주내과</t>
        </is>
      </c>
      <c r="B41" s="3" t="inlineStr">
        <is>
          <t>지역명+진료과</t>
        </is>
      </c>
      <c r="C41" s="6">
        <f>AVERAGE(월별지수!C41:AL41)</f>
        <v>18.70113135</v>
      </c>
      <c r="D41" s="6">
        <f>AVERAGE(월별지수!C41:N41)</f>
        <v>20.33716924</v>
      </c>
      <c r="E41" s="6">
        <f>AVERAGE(월별지수!O41:Z41)</f>
        <v>18.15183044</v>
      </c>
      <c r="F41" s="6">
        <f>AVERAGE(월별지수!AA41:AL41)</f>
        <v>17.61439437</v>
      </c>
      <c r="G41" s="8">
        <f>IFERROR(F41/D41-1,"")</f>
        <v>-0.1338817039</v>
      </c>
      <c r="H41" s="9">
        <f>IFERROR(STDEVP(월별지수!C41:AL41)/C41,"")</f>
        <v>0.1371554609</v>
      </c>
      <c r="I41" s="10">
        <f>IFERROR(MAX(월별지수!C41:AL41)/MEDIAN(월별지수!C41:AL41),"")</f>
        <v>1.406010775</v>
      </c>
      <c r="J41" s="11">
        <f>INDEX(계절_월별!$B$1:$M$1,MATCH(MAX(계절_월별!B41:M41),계절_월별!B41:M41,0))</f>
        <v>1</v>
      </c>
      <c r="K41" s="3" t="inlineStr">
        <is>
          <t>광주</t>
        </is>
      </c>
      <c r="L41" s="3" t="inlineStr">
        <is>
          <t>내과</t>
        </is>
      </c>
    </row>
    <row r="42">
      <c r="A42" s="3" t="inlineStr">
        <is>
          <t>대전내과</t>
        </is>
      </c>
      <c r="B42" s="3" t="inlineStr">
        <is>
          <t>지역명+진료과</t>
        </is>
      </c>
      <c r="C42" s="6">
        <f>AVERAGE(월별지수!C42:AL42)</f>
        <v>33.03337049</v>
      </c>
      <c r="D42" s="6">
        <f>AVERAGE(월별지수!C42:N42)</f>
        <v>38.6224748</v>
      </c>
      <c r="E42" s="6">
        <f>AVERAGE(월별지수!O42:Z42)</f>
        <v>32.28356921</v>
      </c>
      <c r="F42" s="6">
        <f>AVERAGE(월별지수!AA42:AL42)</f>
        <v>28.19406747</v>
      </c>
      <c r="G42" s="8">
        <f>IFERROR(F42/D42-1,"")</f>
        <v>-0.2700087806</v>
      </c>
      <c r="H42" s="9">
        <f>IFERROR(STDEVP(월별지수!C42:AL42)/C42,"")</f>
        <v>0.1890853963</v>
      </c>
      <c r="I42" s="10">
        <f>IFERROR(MAX(월별지수!C42:AL42)/MEDIAN(월별지수!C42:AL42),"")</f>
        <v>1.474541816</v>
      </c>
      <c r="J42" s="11">
        <f>INDEX(계절_월별!$B$1:$M$1,MATCH(MAX(계절_월별!B42:M42),계절_월별!B42:M42,0))</f>
        <v>10</v>
      </c>
      <c r="K42" s="3" t="inlineStr">
        <is>
          <t>대전</t>
        </is>
      </c>
      <c r="L42" s="3" t="inlineStr">
        <is>
          <t>내과</t>
        </is>
      </c>
    </row>
    <row r="43">
      <c r="A43" s="3" t="inlineStr">
        <is>
          <t>울산내과</t>
        </is>
      </c>
      <c r="B43" s="3" t="inlineStr">
        <is>
          <t>지역명+진료과</t>
        </is>
      </c>
      <c r="C43" s="6">
        <f>AVERAGE(월별지수!C43:AL43)</f>
        <v>27.82183427</v>
      </c>
      <c r="D43" s="6">
        <f>AVERAGE(월별지수!C43:N43)</f>
        <v>33.87274277</v>
      </c>
      <c r="E43" s="6">
        <f>AVERAGE(월별지수!O43:Z43)</f>
        <v>26.53904686</v>
      </c>
      <c r="F43" s="6">
        <f>AVERAGE(월별지수!AA43:AL43)</f>
        <v>23.05371317</v>
      </c>
      <c r="G43" s="8">
        <f>IFERROR(F43/D43-1,"")</f>
        <v>-0.3194022305</v>
      </c>
      <c r="H43" s="9">
        <f>IFERROR(STDEVP(월별지수!C43:AL43)/C43,"")</f>
        <v>0.2491348119</v>
      </c>
      <c r="I43" s="10">
        <f>IFERROR(MAX(월별지수!C43:AL43)/MEDIAN(월별지수!C43:AL43),"")</f>
        <v>1.768831912</v>
      </c>
      <c r="J43" s="11">
        <f>INDEX(계절_월별!$B$1:$M$1,MATCH(MAX(계절_월별!B43:M43),계절_월별!B43:M43,0))</f>
        <v>1</v>
      </c>
      <c r="K43" s="3" t="inlineStr">
        <is>
          <t>울산</t>
        </is>
      </c>
      <c r="L43" s="3" t="inlineStr">
        <is>
          <t>내과</t>
        </is>
      </c>
    </row>
    <row r="44">
      <c r="A44" s="3" t="inlineStr">
        <is>
          <t>서울성형외과</t>
        </is>
      </c>
      <c r="B44" s="3" t="inlineStr">
        <is>
          <t>지역명+진료과</t>
        </is>
      </c>
      <c r="C44" s="6">
        <f>AVERAGE(월별지수!C44:AL44)</f>
        <v>31.59367244</v>
      </c>
      <c r="D44" s="6">
        <f>AVERAGE(월별지수!C44:N44)</f>
        <v>34.93070594</v>
      </c>
      <c r="E44" s="6">
        <f>AVERAGE(월별지수!O44:Z44)</f>
        <v>32.88417212</v>
      </c>
      <c r="F44" s="6">
        <f>AVERAGE(월별지수!AA44:AL44)</f>
        <v>26.96613925</v>
      </c>
      <c r="G44" s="8">
        <f>IFERROR(F44/D44-1,"")</f>
        <v>-0.2280104704</v>
      </c>
      <c r="H44" s="9">
        <f>IFERROR(STDEVP(월별지수!C44:AL44)/C44,"")</f>
        <v>0.1986299368</v>
      </c>
      <c r="I44" s="10">
        <f>IFERROR(MAX(월별지수!C44:AL44)/MEDIAN(월별지수!C44:AL44),"")</f>
        <v>1.525612295</v>
      </c>
      <c r="J44" s="11">
        <f>INDEX(계절_월별!$B$1:$M$1,MATCH(MAX(계절_월별!B44:M44),계절_월별!B44:M44,0))</f>
        <v>1</v>
      </c>
      <c r="K44" s="3" t="inlineStr">
        <is>
          <t>서울</t>
        </is>
      </c>
      <c r="L44" s="3" t="inlineStr">
        <is>
          <t>성형외과</t>
        </is>
      </c>
    </row>
    <row r="45">
      <c r="A45" s="3" t="inlineStr">
        <is>
          <t>부산성형외과</t>
        </is>
      </c>
      <c r="B45" s="3" t="inlineStr">
        <is>
          <t>지역명+진료과</t>
        </is>
      </c>
      <c r="C45" s="6">
        <f>AVERAGE(월별지수!C45:AL45)</f>
        <v>77.72721894</v>
      </c>
      <c r="D45" s="6">
        <f>AVERAGE(월별지수!C45:N45)</f>
        <v>52.99088907</v>
      </c>
      <c r="E45" s="6">
        <f>AVERAGE(월별지수!O45:Z45)</f>
        <v>83.63724435</v>
      </c>
      <c r="F45" s="6">
        <f>AVERAGE(월별지수!AA45:AL45)</f>
        <v>96.5535234</v>
      </c>
      <c r="G45" s="8">
        <f>IFERROR(F45/D45-1,"")</f>
        <v>0.8220778157</v>
      </c>
      <c r="H45" s="9">
        <f>IFERROR(STDEVP(월별지수!C45:AL45)/C45,"")</f>
        <v>0.4515553585</v>
      </c>
      <c r="I45" s="10">
        <f>IFERROR(MAX(월별지수!C45:AL45)/MEDIAN(월별지수!C45:AL45),"")</f>
        <v>2.59320943</v>
      </c>
      <c r="J45" s="11">
        <f>INDEX(계절_월별!$B$1:$M$1,MATCH(MAX(계절_월별!B45:M45),계절_월별!B45:M45,0))</f>
        <v>7</v>
      </c>
      <c r="K45" s="3" t="inlineStr">
        <is>
          <t>부산</t>
        </is>
      </c>
      <c r="L45" s="3" t="inlineStr">
        <is>
          <t>성형외과</t>
        </is>
      </c>
    </row>
    <row r="46">
      <c r="A46" s="3" t="inlineStr">
        <is>
          <t>대구성형외과</t>
        </is>
      </c>
      <c r="B46" s="3" t="inlineStr">
        <is>
          <t>지역명+진료과</t>
        </is>
      </c>
      <c r="C46" s="6">
        <f>AVERAGE(월별지수!C46:AL46)</f>
        <v>118.8209639</v>
      </c>
      <c r="D46" s="6">
        <f>AVERAGE(월별지수!C46:N46)</f>
        <v>92.06895142</v>
      </c>
      <c r="E46" s="6">
        <f>AVERAGE(월별지수!O46:Z46)</f>
        <v>137.9459395</v>
      </c>
      <c r="F46" s="6">
        <f>AVERAGE(월별지수!AA46:AL46)</f>
        <v>126.4480007</v>
      </c>
      <c r="G46" s="8">
        <f>IFERROR(F46/D46-1,"")</f>
        <v>0.3734054617</v>
      </c>
      <c r="H46" s="9">
        <f>IFERROR(STDEVP(월별지수!C46:AL46)/C46,"")</f>
        <v>0.3352651768</v>
      </c>
      <c r="I46" s="10">
        <f>IFERROR(MAX(월별지수!C46:AL46)/MEDIAN(월별지수!C46:AL46),"")</f>
        <v>2.382529956</v>
      </c>
      <c r="J46" s="11">
        <f>INDEX(계절_월별!$B$1:$M$1,MATCH(MAX(계절_월별!B46:M46),계절_월별!B46:M46,0))</f>
        <v>3</v>
      </c>
      <c r="K46" s="3" t="inlineStr">
        <is>
          <t>대구</t>
        </is>
      </c>
      <c r="L46" s="3" t="inlineStr">
        <is>
          <t>성형외과</t>
        </is>
      </c>
    </row>
    <row r="47">
      <c r="A47" s="3" t="inlineStr">
        <is>
          <t>인천성형외과</t>
        </is>
      </c>
      <c r="B47" s="3" t="inlineStr">
        <is>
          <t>지역명+진료과</t>
        </is>
      </c>
      <c r="C47" s="6">
        <f>AVERAGE(월별지수!C47:AL47)</f>
        <v>43.18178376</v>
      </c>
      <c r="D47" s="6">
        <f>AVERAGE(월별지수!C47:N47)</f>
        <v>39.02643626</v>
      </c>
      <c r="E47" s="6">
        <f>AVERAGE(월별지수!O47:Z47)</f>
        <v>64.0733011</v>
      </c>
      <c r="F47" s="6">
        <f>AVERAGE(월별지수!AA47:AL47)</f>
        <v>26.44561392</v>
      </c>
      <c r="G47" s="8">
        <f>IFERROR(F47/D47-1,"")</f>
        <v>-0.322366671</v>
      </c>
      <c r="H47" s="9">
        <f>IFERROR(STDEVP(월별지수!C47:AL47)/C47,"")</f>
        <v>0.6720761509</v>
      </c>
      <c r="I47" s="10">
        <f>IFERROR(MAX(월별지수!C47:AL47)/MEDIAN(월별지수!C47:AL47),"")</f>
        <v>5.043085248</v>
      </c>
      <c r="J47" s="11">
        <f>INDEX(계절_월별!$B$1:$M$1,MATCH(MAX(계절_월별!B47:M47),계절_월별!B47:M47,0))</f>
        <v>8</v>
      </c>
      <c r="K47" s="3" t="inlineStr">
        <is>
          <t>인천</t>
        </is>
      </c>
      <c r="L47" s="3" t="inlineStr">
        <is>
          <t>성형외과</t>
        </is>
      </c>
    </row>
    <row r="48">
      <c r="A48" s="3" t="inlineStr">
        <is>
          <t>광주성형외과</t>
        </is>
      </c>
      <c r="B48" s="3" t="inlineStr">
        <is>
          <t>지역명+진료과</t>
        </is>
      </c>
      <c r="C48" s="6">
        <f>AVERAGE(월별지수!C48:AL48)</f>
        <v>56.39644287</v>
      </c>
      <c r="D48" s="6">
        <f>AVERAGE(월별지수!C48:N48)</f>
        <v>56.04022711</v>
      </c>
      <c r="E48" s="6">
        <f>AVERAGE(월별지수!O48:Z48)</f>
        <v>49.33650489</v>
      </c>
      <c r="F48" s="6">
        <f>AVERAGE(월별지수!AA48:AL48)</f>
        <v>63.81259661</v>
      </c>
      <c r="G48" s="8">
        <f>IFERROR(F48/D48-1,"")</f>
        <v>0.1386926839</v>
      </c>
      <c r="H48" s="9">
        <f>IFERROR(STDEVP(월별지수!C48:AL48)/C48,"")</f>
        <v>0.3188629025</v>
      </c>
      <c r="I48" s="10">
        <f>IFERROR(MAX(월별지수!C48:AL48)/MEDIAN(월별지수!C48:AL48),"")</f>
        <v>2.270612507</v>
      </c>
      <c r="J48" s="11">
        <f>INDEX(계절_월별!$B$1:$M$1,MATCH(MAX(계절_월별!B48:M48),계절_월별!B48:M48,0))</f>
        <v>12</v>
      </c>
      <c r="K48" s="3" t="inlineStr">
        <is>
          <t>광주</t>
        </is>
      </c>
      <c r="L48" s="3" t="inlineStr">
        <is>
          <t>성형외과</t>
        </is>
      </c>
    </row>
    <row r="49">
      <c r="A49" s="3" t="inlineStr">
        <is>
          <t>대전성형외과</t>
        </is>
      </c>
      <c r="B49" s="3" t="inlineStr">
        <is>
          <t>지역명+진료과</t>
        </is>
      </c>
      <c r="C49" s="6">
        <f>AVERAGE(월별지수!C49:AL49)</f>
        <v>50.46001711</v>
      </c>
      <c r="D49" s="6">
        <f>AVERAGE(월별지수!C49:N49)</f>
        <v>39.57099274</v>
      </c>
      <c r="E49" s="6">
        <f>AVERAGE(월별지수!O49:Z49)</f>
        <v>56.73960269</v>
      </c>
      <c r="F49" s="6">
        <f>AVERAGE(월별지수!AA49:AL49)</f>
        <v>55.0694559</v>
      </c>
      <c r="G49" s="8">
        <f>IFERROR(F49/D49-1,"")</f>
        <v>0.3916622276</v>
      </c>
      <c r="H49" s="9">
        <f>IFERROR(STDEVP(월별지수!C49:AL49)/C49,"")</f>
        <v>0.2539814544</v>
      </c>
      <c r="I49" s="10">
        <f>IFERROR(MAX(월별지수!C49:AL49)/MEDIAN(월별지수!C49:AL49),"")</f>
        <v>1.777140567</v>
      </c>
      <c r="J49" s="11">
        <f>INDEX(계절_월별!$B$1:$M$1,MATCH(MAX(계절_월별!B49:M49),계절_월별!B49:M49,0))</f>
        <v>1</v>
      </c>
      <c r="K49" s="3" t="inlineStr">
        <is>
          <t>대전</t>
        </is>
      </c>
      <c r="L49" s="3" t="inlineStr">
        <is>
          <t>성형외과</t>
        </is>
      </c>
    </row>
    <row r="50">
      <c r="A50" s="3" t="inlineStr">
        <is>
          <t>울산성형외과</t>
        </is>
      </c>
      <c r="B50" s="3" t="inlineStr">
        <is>
          <t>지역명+진료과</t>
        </is>
      </c>
      <c r="C50" s="6">
        <f>AVERAGE(월별지수!C50:AL50)</f>
        <v>23.70860522</v>
      </c>
      <c r="D50" s="6">
        <f>AVERAGE(월별지수!C50:N50)</f>
        <v>28.31240769</v>
      </c>
      <c r="E50" s="6">
        <f>AVERAGE(월별지수!O50:Z50)</f>
        <v>22.48780555</v>
      </c>
      <c r="F50" s="6">
        <f>AVERAGE(월별지수!AA50:AL50)</f>
        <v>20.32560242</v>
      </c>
      <c r="G50" s="8">
        <f>IFERROR(F50/D50-1,"")</f>
        <v>-0.2820955872</v>
      </c>
      <c r="H50" s="9">
        <f>IFERROR(STDEVP(월별지수!C50:AL50)/C50,"")</f>
        <v>0.2061675765</v>
      </c>
      <c r="I50" s="10">
        <f>IFERROR(MAX(월별지수!C50:AL50)/MEDIAN(월별지수!C50:AL50),"")</f>
        <v>1.558331736</v>
      </c>
      <c r="J50" s="11">
        <f>INDEX(계절_월별!$B$1:$M$1,MATCH(MAX(계절_월별!B50:M50),계절_월별!B50:M50,0))</f>
        <v>1</v>
      </c>
      <c r="K50" s="3" t="inlineStr">
        <is>
          <t>울산</t>
        </is>
      </c>
      <c r="L50" s="3" t="inlineStr">
        <is>
          <t>성형외과</t>
        </is>
      </c>
    </row>
    <row r="51">
      <c r="A51" s="3" t="inlineStr">
        <is>
          <t>수원피부과</t>
        </is>
      </c>
      <c r="B51" s="3" t="inlineStr">
        <is>
          <t>중소도시</t>
        </is>
      </c>
      <c r="C51" s="6">
        <f>AVERAGE(월별지수!C51:AL51)</f>
        <v>194.1884666</v>
      </c>
      <c r="D51" s="6">
        <f>AVERAGE(월별지수!C51:N51)</f>
        <v>131.6942344</v>
      </c>
      <c r="E51" s="6">
        <f>AVERAGE(월별지수!O51:Z51)</f>
        <v>224.2588328</v>
      </c>
      <c r="F51" s="6">
        <f>AVERAGE(월별지수!AA51:AL51)</f>
        <v>226.6123325</v>
      </c>
      <c r="G51" s="8">
        <f>IFERROR(F51/D51-1,"")</f>
        <v>0.7207460406</v>
      </c>
      <c r="H51" s="9">
        <f>IFERROR(STDEVP(월별지수!C51:AL51)/C51,"")</f>
        <v>0.427316162</v>
      </c>
      <c r="I51" s="10">
        <f>IFERROR(MAX(월별지수!C51:AL51)/MEDIAN(월별지수!C51:AL51),"")</f>
        <v>2.556104578</v>
      </c>
      <c r="J51" s="11">
        <f>INDEX(계절_월별!$B$1:$M$1,MATCH(MAX(계절_월별!B51:M51),계절_월별!B51:M51,0))</f>
        <v>7</v>
      </c>
      <c r="K51" s="3" t="inlineStr"/>
      <c r="L51" s="3" t="inlineStr"/>
    </row>
    <row r="52">
      <c r="A52" s="3" t="inlineStr">
        <is>
          <t>창원피부과</t>
        </is>
      </c>
      <c r="B52" s="3" t="inlineStr">
        <is>
          <t>중소도시</t>
        </is>
      </c>
      <c r="C52" s="6">
        <f>AVERAGE(월별지수!C52:AL52)</f>
        <v>134.8823804</v>
      </c>
      <c r="D52" s="6">
        <f>AVERAGE(월별지수!C52:N52)</f>
        <v>127.6483372</v>
      </c>
      <c r="E52" s="6">
        <f>AVERAGE(월별지수!O52:Z52)</f>
        <v>143.9200392</v>
      </c>
      <c r="F52" s="6">
        <f>AVERAGE(월별지수!AA52:AL52)</f>
        <v>133.0787647</v>
      </c>
      <c r="G52" s="8">
        <f>IFERROR(F52/D52-1,"")</f>
        <v>0.04254209292</v>
      </c>
      <c r="H52" s="9">
        <f>IFERROR(STDEVP(월별지수!C52:AL52)/C52,"")</f>
        <v>0.3187919167</v>
      </c>
      <c r="I52" s="10">
        <f>IFERROR(MAX(월별지수!C52:AL52)/MEDIAN(월별지수!C52:AL52),"")</f>
        <v>2.085001104</v>
      </c>
      <c r="J52" s="11">
        <f>INDEX(계절_월별!$B$1:$M$1,MATCH(MAX(계절_월별!B52:M52),계절_월별!B52:M52,0))</f>
        <v>5</v>
      </c>
      <c r="K52" s="3" t="inlineStr"/>
      <c r="L52" s="3" t="inlineStr"/>
    </row>
    <row r="53">
      <c r="A53" s="3" t="inlineStr">
        <is>
          <t>제주피부과</t>
        </is>
      </c>
      <c r="B53" s="3" t="inlineStr">
        <is>
          <t>중소도시</t>
        </is>
      </c>
      <c r="C53" s="6">
        <f>AVERAGE(월별지수!C53:AL53)</f>
        <v>50.47810691</v>
      </c>
      <c r="D53" s="6">
        <f>AVERAGE(월별지수!C53:N53)</f>
        <v>41.46803065</v>
      </c>
      <c r="E53" s="6">
        <f>AVERAGE(월별지수!O53:Z53)</f>
        <v>54.42969459</v>
      </c>
      <c r="F53" s="6">
        <f>AVERAGE(월별지수!AA53:AL53)</f>
        <v>55.53659549</v>
      </c>
      <c r="G53" s="8">
        <f>IFERROR(F53/D53-1,"")</f>
        <v>0.3392629122</v>
      </c>
      <c r="H53" s="9">
        <f>IFERROR(STDEVP(월별지수!C53:AL53)/C53,"")</f>
        <v>0.2433782389</v>
      </c>
      <c r="I53" s="10">
        <f>IFERROR(MAX(월별지수!C53:AL53)/MEDIAN(월별지수!C53:AL53),"")</f>
        <v>1.720639862</v>
      </c>
      <c r="J53" s="11">
        <f>INDEX(계절_월별!$B$1:$M$1,MATCH(MAX(계절_월별!B53:M53),계절_월별!B53:M53,0))</f>
        <v>3</v>
      </c>
      <c r="K53" s="3" t="inlineStr"/>
      <c r="L53" s="3" t="inlineStr"/>
    </row>
    <row r="54">
      <c r="A54" s="3" t="inlineStr">
        <is>
          <t>수원치과</t>
        </is>
      </c>
      <c r="B54" s="3" t="inlineStr">
        <is>
          <t>중소도시</t>
        </is>
      </c>
      <c r="C54" s="6">
        <f>AVERAGE(월별지수!C54:AL54)</f>
        <v>155.8438947</v>
      </c>
      <c r="D54" s="6">
        <f>AVERAGE(월별지수!C54:N54)</f>
        <v>154.9250327</v>
      </c>
      <c r="E54" s="6">
        <f>AVERAGE(월별지수!O54:Z54)</f>
        <v>156.569377</v>
      </c>
      <c r="F54" s="6">
        <f>AVERAGE(월별지수!AA54:AL54)</f>
        <v>156.0372745</v>
      </c>
      <c r="G54" s="8">
        <f>IFERROR(F54/D54-1,"")</f>
        <v>0.007179225518</v>
      </c>
      <c r="H54" s="9">
        <f>IFERROR(STDEVP(월별지수!C54:AL54)/C54,"")</f>
        <v>0.3630641307</v>
      </c>
      <c r="I54" s="10">
        <f>IFERROR(MAX(월별지수!C54:AL54)/MEDIAN(월별지수!C54:AL54),"")</f>
        <v>1.851255537</v>
      </c>
      <c r="J54" s="11">
        <f>INDEX(계절_월별!$B$1:$M$1,MATCH(MAX(계절_월별!B54:M54),계절_월별!B54:M54,0))</f>
        <v>7</v>
      </c>
      <c r="K54" s="3" t="inlineStr"/>
      <c r="L54" s="3" t="inlineStr"/>
    </row>
    <row r="55">
      <c r="A55" s="3" t="inlineStr">
        <is>
          <t>천안치과</t>
        </is>
      </c>
      <c r="B55" s="3" t="inlineStr">
        <is>
          <t>중소도시</t>
        </is>
      </c>
      <c r="C55" s="6">
        <f>AVERAGE(월별지수!C55:AL55)</f>
        <v>109.083634</v>
      </c>
      <c r="D55" s="6">
        <f>AVERAGE(월별지수!C55:N55)</f>
        <v>75.95474903</v>
      </c>
      <c r="E55" s="6">
        <f>AVERAGE(월별지수!O55:Z55)</f>
        <v>163.5427147</v>
      </c>
      <c r="F55" s="6">
        <f>AVERAGE(월별지수!AA55:AL55)</f>
        <v>87.75343811</v>
      </c>
      <c r="G55" s="8">
        <f>IFERROR(F55/D55-1,"")</f>
        <v>0.1553383985</v>
      </c>
      <c r="H55" s="9">
        <f>IFERROR(STDEVP(월별지수!C55:AL55)/C55,"")</f>
        <v>0.7822621838</v>
      </c>
      <c r="I55" s="10">
        <f>IFERROR(MAX(월별지수!C55:AL55)/MEDIAN(월별지수!C55:AL55),"")</f>
        <v>5.201074127</v>
      </c>
      <c r="J55" s="11">
        <f>INDEX(계절_월별!$B$1:$M$1,MATCH(MAX(계절_월별!B55:M55),계절_월별!B55:M55,0))</f>
        <v>7</v>
      </c>
      <c r="K55" s="3" t="inlineStr"/>
      <c r="L55" s="3" t="inlineStr"/>
    </row>
    <row r="56">
      <c r="A56" s="3" t="inlineStr">
        <is>
          <t>청주치과</t>
        </is>
      </c>
      <c r="B56" s="3" t="inlineStr">
        <is>
          <t>중소도시</t>
        </is>
      </c>
      <c r="C56" s="6">
        <f>AVERAGE(월별지수!C56:AL56)</f>
        <v>149.1039869</v>
      </c>
      <c r="D56" s="6">
        <f>AVERAGE(월별지수!C56:N56)</f>
        <v>91.8269273</v>
      </c>
      <c r="E56" s="6">
        <f>AVERAGE(월별지수!O56:Z56)</f>
        <v>239.0374571</v>
      </c>
      <c r="F56" s="6">
        <f>AVERAGE(월별지수!AA56:AL56)</f>
        <v>116.4475764</v>
      </c>
      <c r="G56" s="8">
        <f>IFERROR(F56/D56-1,"")</f>
        <v>0.2681201452</v>
      </c>
      <c r="H56" s="9">
        <f>IFERROR(STDEVP(월별지수!C56:AL56)/C56,"")</f>
        <v>0.6852742033</v>
      </c>
      <c r="I56" s="10">
        <f>IFERROR(MAX(월별지수!C56:AL56)/MEDIAN(월별지수!C56:AL56),"")</f>
        <v>4.912721812</v>
      </c>
      <c r="J56" s="11">
        <f>INDEX(계절_월별!$B$1:$M$1,MATCH(MAX(계절_월별!B56:M56),계절_월별!B56:M56,0))</f>
        <v>7</v>
      </c>
      <c r="K56" s="3" t="inlineStr"/>
      <c r="L56" s="3" t="inlineStr"/>
    </row>
    <row r="57">
      <c r="A57" s="3" t="inlineStr">
        <is>
          <t>수원내과</t>
        </is>
      </c>
      <c r="B57" s="3" t="inlineStr">
        <is>
          <t>중소도시</t>
        </is>
      </c>
      <c r="C57" s="6">
        <f>AVERAGE(월별지수!C57:AL57)</f>
        <v>21.97172314</v>
      </c>
      <c r="D57" s="6">
        <f>AVERAGE(월별지수!C57:N57)</f>
        <v>22.1505715</v>
      </c>
      <c r="E57" s="6">
        <f>AVERAGE(월별지수!O57:Z57)</f>
        <v>21.42983814</v>
      </c>
      <c r="F57" s="6">
        <f>AVERAGE(월별지수!AA57:AL57)</f>
        <v>22.33475979</v>
      </c>
      <c r="G57" s="8">
        <f>IFERROR(F57/D57-1,"")</f>
        <v>0.00831528402</v>
      </c>
      <c r="H57" s="9">
        <f>IFERROR(STDEVP(월별지수!C57:AL57)/C57,"")</f>
        <v>0.2349038733</v>
      </c>
      <c r="I57" s="10">
        <f>IFERROR(MAX(월별지수!C57:AL57)/MEDIAN(월별지수!C57:AL57),"")</f>
        <v>1.916194504</v>
      </c>
      <c r="J57" s="11">
        <f>INDEX(계절_월별!$B$1:$M$1,MATCH(MAX(계절_월별!B57:M57),계절_월별!B57:M57,0))</f>
        <v>1</v>
      </c>
      <c r="K57" s="3" t="inlineStr"/>
      <c r="L57" s="3" t="inlineStr"/>
    </row>
    <row r="58">
      <c r="A58" s="3" t="inlineStr">
        <is>
          <t>강남피부과</t>
        </is>
      </c>
      <c r="B58" s="3" t="inlineStr">
        <is>
          <t>상권</t>
        </is>
      </c>
      <c r="C58" s="6">
        <f>AVERAGE(월별지수!C58:AL58)</f>
        <v>215.214055</v>
      </c>
      <c r="D58" s="6">
        <f>AVERAGE(월별지수!C58:N58)</f>
        <v>251.113767</v>
      </c>
      <c r="E58" s="6">
        <f>AVERAGE(월별지수!O58:Z58)</f>
        <v>190.0523953</v>
      </c>
      <c r="F58" s="6">
        <f>AVERAGE(월별지수!AA58:AL58)</f>
        <v>204.4760027</v>
      </c>
      <c r="G58" s="8">
        <f>IFERROR(F58/D58-1,"")</f>
        <v>-0.1857236456</v>
      </c>
      <c r="H58" s="9">
        <f>IFERROR(STDEVP(월별지수!C58:AL58)/C58,"")</f>
        <v>0.2165550881</v>
      </c>
      <c r="I58" s="10">
        <f>IFERROR(MAX(월별지수!C58:AL58)/MEDIAN(월별지수!C58:AL58),"")</f>
        <v>1.671871893</v>
      </c>
      <c r="J58" s="11">
        <f>INDEX(계절_월별!$B$1:$M$1,MATCH(MAX(계절_월별!B58:M58),계절_월별!B58:M58,0))</f>
        <v>5</v>
      </c>
      <c r="K58" s="3" t="inlineStr"/>
      <c r="L58" s="3" t="inlineStr"/>
    </row>
    <row r="59">
      <c r="A59" s="3" t="inlineStr">
        <is>
          <t>강남치과</t>
        </is>
      </c>
      <c r="B59" s="3" t="inlineStr">
        <is>
          <t>상권</t>
        </is>
      </c>
      <c r="C59" s="6">
        <f>AVERAGE(월별지수!C59:AL59)</f>
        <v>154.4703501</v>
      </c>
      <c r="D59" s="6">
        <f>AVERAGE(월별지수!C59:N59)</f>
        <v>99.76034673</v>
      </c>
      <c r="E59" s="6">
        <f>AVERAGE(월별지수!O59:Z59)</f>
        <v>219.5829594</v>
      </c>
      <c r="F59" s="6">
        <f>AVERAGE(월별지수!AA59:AL59)</f>
        <v>144.0677443</v>
      </c>
      <c r="G59" s="8">
        <f>IFERROR(F59/D59-1,"")</f>
        <v>0.4441383678</v>
      </c>
      <c r="H59" s="9">
        <f>IFERROR(STDEVP(월별지수!C59:AL59)/C59,"")</f>
        <v>0.7110280267</v>
      </c>
      <c r="I59" s="10">
        <f>IFERROR(MAX(월별지수!C59:AL59)/MEDIAN(월별지수!C59:AL59),"")</f>
        <v>4.719748419</v>
      </c>
      <c r="J59" s="11">
        <f>INDEX(계절_월별!$B$1:$M$1,MATCH(MAX(계절_월별!B59:M59),계절_월별!B59:M59,0))</f>
        <v>7</v>
      </c>
      <c r="K59" s="3" t="inlineStr"/>
      <c r="L59" s="3" t="inlineStr"/>
    </row>
    <row r="60">
      <c r="A60" s="3" t="inlineStr">
        <is>
          <t>부평치과</t>
        </is>
      </c>
      <c r="B60" s="3" t="inlineStr">
        <is>
          <t>상권</t>
        </is>
      </c>
      <c r="C60" s="6">
        <f>AVERAGE(월별지수!C60:AL60)</f>
        <v>106.4762342</v>
      </c>
      <c r="D60" s="6">
        <f>AVERAGE(월별지수!C60:N60)</f>
        <v>116.168187</v>
      </c>
      <c r="E60" s="6">
        <f>AVERAGE(월별지수!O60:Z60)</f>
        <v>116.5080919</v>
      </c>
      <c r="F60" s="6">
        <f>AVERAGE(월별지수!AA60:AL60)</f>
        <v>86.7524238</v>
      </c>
      <c r="G60" s="8">
        <f>IFERROR(F60/D60-1,"")</f>
        <v>-0.2532170291</v>
      </c>
      <c r="H60" s="9">
        <f>IFERROR(STDEVP(월별지수!C60:AL60)/C60,"")</f>
        <v>0.5175547794</v>
      </c>
      <c r="I60" s="10">
        <f>IFERROR(MAX(월별지수!C60:AL60)/MEDIAN(월별지수!C60:AL60),"")</f>
        <v>2.797990088</v>
      </c>
      <c r="J60" s="11">
        <f>INDEX(계절_월별!$B$1:$M$1,MATCH(MAX(계절_월별!B60:M60),계절_월별!B60:M60,0))</f>
        <v>5</v>
      </c>
      <c r="K60" s="3" t="inlineStr"/>
      <c r="L60" s="3" t="inlineStr"/>
    </row>
    <row r="61">
      <c r="A61" s="3" t="inlineStr">
        <is>
          <t>서면피부과</t>
        </is>
      </c>
      <c r="B61" s="3" t="inlineStr">
        <is>
          <t>상권</t>
        </is>
      </c>
      <c r="C61" s="6">
        <f>AVERAGE(월별지수!C61:AL61)</f>
        <v>219.4420691</v>
      </c>
      <c r="D61" s="6">
        <f>AVERAGE(월별지수!C61:N61)</f>
        <v>195.2105464</v>
      </c>
      <c r="E61" s="6">
        <f>AVERAGE(월별지수!O61:Z61)</f>
        <v>286.0418204</v>
      </c>
      <c r="F61" s="6">
        <f>AVERAGE(월별지수!AA61:AL61)</f>
        <v>177.0738405</v>
      </c>
      <c r="G61" s="8">
        <f>IFERROR(F61/D61-1,"")</f>
        <v>-0.09290843275</v>
      </c>
      <c r="H61" s="9">
        <f>IFERROR(STDEVP(월별지수!C61:AL61)/C61,"")</f>
        <v>0.3203303028</v>
      </c>
      <c r="I61" s="10">
        <f>IFERROR(MAX(월별지수!C61:AL61)/MEDIAN(월별지수!C61:AL61),"")</f>
        <v>1.844937759</v>
      </c>
      <c r="J61" s="11">
        <f>INDEX(계절_월별!$B$1:$M$1,MATCH(MAX(계절_월별!B61:M61),계절_월별!B61:M61,0))</f>
        <v>2</v>
      </c>
      <c r="K61" s="3" t="inlineStr"/>
      <c r="L61" s="3" t="inlineStr"/>
    </row>
    <row r="62">
      <c r="A62" s="3" t="inlineStr">
        <is>
          <t>피부과</t>
        </is>
      </c>
      <c r="B62" s="3" t="inlineStr">
        <is>
          <t>진료과단독</t>
        </is>
      </c>
      <c r="C62" s="6">
        <f>AVERAGE(월별지수!C62:AL62)</f>
        <v>5394.449784</v>
      </c>
      <c r="D62" s="6">
        <f>AVERAGE(월별지수!C62:N62)</f>
        <v>5621.870502</v>
      </c>
      <c r="E62" s="6">
        <f>AVERAGE(월별지수!O62:Z62)</f>
        <v>5419.936057</v>
      </c>
      <c r="F62" s="6">
        <f>AVERAGE(월별지수!AA62:AL62)</f>
        <v>5141.542793</v>
      </c>
      <c r="G62" s="8">
        <f>IFERROR(F62/D62-1,"")</f>
        <v>-0.0854391272</v>
      </c>
      <c r="H62" s="9">
        <f>IFERROR(STDEVP(월별지수!C62:AL62)/C62,"")</f>
        <v>0.09985543446</v>
      </c>
      <c r="I62" s="10">
        <f>IFERROR(MAX(월별지수!C62:AL62)/MEDIAN(월별지수!C62:AL62),"")</f>
        <v>1.212875698</v>
      </c>
      <c r="J62" s="11">
        <f>INDEX(계절_월별!$B$1:$M$1,MATCH(MAX(계절_월별!B62:M62),계절_월별!B62:M62,0))</f>
        <v>8</v>
      </c>
      <c r="K62" s="3" t="inlineStr"/>
      <c r="L62" s="3" t="inlineStr"/>
    </row>
    <row r="63">
      <c r="A63" s="3" t="inlineStr">
        <is>
          <t>치과</t>
        </is>
      </c>
      <c r="B63" s="3" t="inlineStr">
        <is>
          <t>진료과단독</t>
        </is>
      </c>
      <c r="C63" s="6">
        <f>AVERAGE(월별지수!C63:AL63)</f>
        <v>2894.421184</v>
      </c>
      <c r="D63" s="6">
        <f>AVERAGE(월별지수!C63:N63)</f>
        <v>3057.952623</v>
      </c>
      <c r="E63" s="6">
        <f>AVERAGE(월별지수!O63:Z63)</f>
        <v>2888.599814</v>
      </c>
      <c r="F63" s="6">
        <f>AVERAGE(월별지수!AA63:AL63)</f>
        <v>2736.711116</v>
      </c>
      <c r="G63" s="8">
        <f>IFERROR(F63/D63-1,"")</f>
        <v>-0.105051172</v>
      </c>
      <c r="H63" s="9">
        <f>IFERROR(STDEVP(월별지수!C63:AL63)/C63,"")</f>
        <v>0.06705846484</v>
      </c>
      <c r="I63" s="10">
        <f>IFERROR(MAX(월별지수!C63:AL63)/MEDIAN(월별지수!C63:AL63),"")</f>
        <v>1.125138405</v>
      </c>
      <c r="J63" s="11">
        <f>INDEX(계절_월별!$B$1:$M$1,MATCH(MAX(계절_월별!B63:M63),계절_월별!B63:M63,0))</f>
        <v>10</v>
      </c>
      <c r="K63" s="3" t="inlineStr"/>
      <c r="L63" s="3" t="inlineStr"/>
    </row>
    <row r="64">
      <c r="A64" s="3" t="inlineStr">
        <is>
          <t>한의원</t>
        </is>
      </c>
      <c r="B64" s="3" t="inlineStr">
        <is>
          <t>진료과단독</t>
        </is>
      </c>
      <c r="C64" s="6">
        <f>AVERAGE(월별지수!C64:AL64)</f>
        <v>1915.527443</v>
      </c>
      <c r="D64" s="6">
        <f>AVERAGE(월별지수!C64:N64)</f>
        <v>2078.757223</v>
      </c>
      <c r="E64" s="6">
        <f>AVERAGE(월별지수!O64:Z64)</f>
        <v>1942.676753</v>
      </c>
      <c r="F64" s="6">
        <f>AVERAGE(월별지수!AA64:AL64)</f>
        <v>1725.148352</v>
      </c>
      <c r="G64" s="8">
        <f>IFERROR(F64/D64-1,"")</f>
        <v>-0.1701059011</v>
      </c>
      <c r="H64" s="9">
        <f>IFERROR(STDEVP(월별지수!C64:AL64)/C64,"")</f>
        <v>0.1123226972</v>
      </c>
      <c r="I64" s="10">
        <f>IFERROR(MAX(월별지수!C64:AL64)/MEDIAN(월별지수!C64:AL64),"")</f>
        <v>1.226071705</v>
      </c>
      <c r="J64" s="11">
        <f>INDEX(계절_월별!$B$1:$M$1,MATCH(MAX(계절_월별!B64:M64),계절_월별!B64:M64,0))</f>
        <v>10</v>
      </c>
      <c r="K64" s="3" t="inlineStr"/>
      <c r="L64" s="3" t="inlineStr"/>
    </row>
    <row r="65">
      <c r="A65" s="3" t="inlineStr">
        <is>
          <t>내과</t>
        </is>
      </c>
      <c r="B65" s="3" t="inlineStr">
        <is>
          <t>진료과단독</t>
        </is>
      </c>
      <c r="C65" s="6">
        <f>AVERAGE(월별지수!C65:AL65)</f>
        <v>5102.980342</v>
      </c>
      <c r="D65" s="6">
        <f>AVERAGE(월별지수!C65:N65)</f>
        <v>5743.42514</v>
      </c>
      <c r="E65" s="6">
        <f>AVERAGE(월별지수!O65:Z65)</f>
        <v>5022.888963</v>
      </c>
      <c r="F65" s="6">
        <f>AVERAGE(월별지수!AA65:AL65)</f>
        <v>4542.626921</v>
      </c>
      <c r="G65" s="8">
        <f>IFERROR(F65/D65-1,"")</f>
        <v>-0.2090735389</v>
      </c>
      <c r="H65" s="9">
        <f>IFERROR(STDEVP(월별지수!C65:AL65)/C65,"")</f>
        <v>0.1784006516</v>
      </c>
      <c r="I65" s="10">
        <f>IFERROR(MAX(월별지수!C65:AL65)/MEDIAN(월별지수!C65:AL65),"")</f>
        <v>1.530788168</v>
      </c>
      <c r="J65" s="11">
        <f>INDEX(계절_월별!$B$1:$M$1,MATCH(MAX(계절_월별!B65:M65),계절_월별!B65:M65,0))</f>
        <v>12</v>
      </c>
      <c r="K65" s="3" t="inlineStr"/>
      <c r="L65" s="3" t="inlineStr"/>
    </row>
    <row r="66">
      <c r="A66" s="3" t="inlineStr">
        <is>
          <t>정형외과</t>
        </is>
      </c>
      <c r="B66" s="3" t="inlineStr">
        <is>
          <t>진료과단독</t>
        </is>
      </c>
      <c r="C66" s="6">
        <f>AVERAGE(월별지수!C66:AL66)</f>
        <v>5308.493985</v>
      </c>
      <c r="D66" s="6">
        <f>AVERAGE(월별지수!C66:N66)</f>
        <v>5716.092193</v>
      </c>
      <c r="E66" s="6">
        <f>AVERAGE(월별지수!O66:Z66)</f>
        <v>5321.417455</v>
      </c>
      <c r="F66" s="6">
        <f>AVERAGE(월별지수!AA66:AL66)</f>
        <v>4887.972308</v>
      </c>
      <c r="G66" s="8">
        <f>IFERROR(F66/D66-1,"")</f>
        <v>-0.1448751801</v>
      </c>
      <c r="H66" s="9">
        <f>IFERROR(STDEVP(월별지수!C66:AL66)/C66,"")</f>
        <v>0.1171938062</v>
      </c>
      <c r="I66" s="10">
        <f>IFERROR(MAX(월별지수!C66:AL66)/MEDIAN(월별지수!C66:AL66),"")</f>
        <v>1.308428188</v>
      </c>
      <c r="J66" s="11">
        <f>INDEX(계절_월별!$B$1:$M$1,MATCH(MAX(계절_월별!B66:M66),계절_월별!B66:M66,0))</f>
        <v>5</v>
      </c>
      <c r="K66" s="3" t="inlineStr"/>
      <c r="L66" s="3" t="inlineStr"/>
    </row>
    <row r="67">
      <c r="A67" s="3" t="inlineStr">
        <is>
          <t>안과</t>
        </is>
      </c>
      <c r="B67" s="3" t="inlineStr">
        <is>
          <t>진료과단독</t>
        </is>
      </c>
      <c r="C67" s="6">
        <f>AVERAGE(월별지수!C67:AL67)</f>
        <v>3507.572333</v>
      </c>
      <c r="D67" s="6">
        <f>AVERAGE(월별지수!C67:N67)</f>
        <v>3707.55908</v>
      </c>
      <c r="E67" s="6">
        <f>AVERAGE(월별지수!O67:Z67)</f>
        <v>3502.566262</v>
      </c>
      <c r="F67" s="6">
        <f>AVERAGE(월별지수!AA67:AL67)</f>
        <v>3312.591656</v>
      </c>
      <c r="G67" s="8">
        <f>IFERROR(F67/D67-1,"")</f>
        <v>-0.1065303116</v>
      </c>
      <c r="H67" s="9">
        <f>IFERROR(STDEVP(월별지수!C67:AL67)/C67,"")</f>
        <v>0.1333731182</v>
      </c>
      <c r="I67" s="10">
        <f>IFERROR(MAX(월별지수!C67:AL67)/MEDIAN(월별지수!C67:AL67),"")</f>
        <v>1.245119358</v>
      </c>
      <c r="J67" s="11">
        <f>INDEX(계절_월별!$B$1:$M$1,MATCH(MAX(계절_월별!B67:M67),계절_월별!B67:M67,0))</f>
        <v>4</v>
      </c>
      <c r="K67" s="3" t="inlineStr"/>
      <c r="L67" s="3" t="inlineStr"/>
    </row>
    <row r="68">
      <c r="A68" s="3" t="inlineStr">
        <is>
          <t>성형외과</t>
        </is>
      </c>
      <c r="B68" s="3" t="inlineStr">
        <is>
          <t>진료과단독</t>
        </is>
      </c>
      <c r="C68" s="6">
        <f>AVERAGE(월별지수!C68:AL68)</f>
        <v>392.5343758</v>
      </c>
      <c r="D68" s="6">
        <f>AVERAGE(월별지수!C68:N68)</f>
        <v>438.0441279</v>
      </c>
      <c r="E68" s="6">
        <f>AVERAGE(월별지수!O68:Z68)</f>
        <v>392.0600487</v>
      </c>
      <c r="F68" s="6">
        <f>AVERAGE(월별지수!AA68:AL68)</f>
        <v>347.4989507</v>
      </c>
      <c r="G68" s="8">
        <f>IFERROR(F68/D68-1,"")</f>
        <v>-0.2067033239</v>
      </c>
      <c r="H68" s="9">
        <f>IFERROR(STDEVP(월별지수!C68:AL68)/C68,"")</f>
        <v>0.1353953898</v>
      </c>
      <c r="I68" s="10">
        <f>IFERROR(MAX(월별지수!C68:AL68)/MEDIAN(월별지수!C68:AL68),"")</f>
        <v>1.308755136</v>
      </c>
      <c r="J68" s="11">
        <f>INDEX(계절_월별!$B$1:$M$1,MATCH(MAX(계절_월별!B68:M68),계절_월별!B68:M68,0))</f>
        <v>1</v>
      </c>
      <c r="K68" s="3" t="inlineStr"/>
      <c r="L68" s="3" t="inlineStr"/>
    </row>
    <row r="69">
      <c r="A69" s="3" t="inlineStr">
        <is>
          <t>병원</t>
        </is>
      </c>
      <c r="B69" s="3" t="inlineStr">
        <is>
          <t>진료과단독</t>
        </is>
      </c>
      <c r="C69" s="6">
        <f>AVERAGE(월별지수!C69:AL69)</f>
        <v>2151.283179</v>
      </c>
      <c r="D69" s="6">
        <f>AVERAGE(월별지수!C69:N69)</f>
        <v>2513.671558</v>
      </c>
      <c r="E69" s="6">
        <f>AVERAGE(월별지수!O69:Z69)</f>
        <v>2108.798778</v>
      </c>
      <c r="F69" s="6">
        <f>AVERAGE(월별지수!AA69:AL69)</f>
        <v>1831.379202</v>
      </c>
      <c r="G69" s="8">
        <f>IFERROR(F69/D69-1,"")</f>
        <v>-0.27143258</v>
      </c>
      <c r="H69" s="9">
        <f>IFERROR(STDEVP(월별지수!C69:AL69)/C69,"")</f>
        <v>0.2261800008</v>
      </c>
      <c r="I69" s="10">
        <f>IFERROR(MAX(월별지수!C69:AL69)/MEDIAN(월별지수!C69:AL69),"")</f>
        <v>1.482661921</v>
      </c>
      <c r="J69" s="11">
        <f>INDEX(계절_월별!$B$1:$M$1,MATCH(MAX(계절_월별!B69:M69),계절_월별!B69:M69,0))</f>
        <v>10</v>
      </c>
      <c r="K69" s="3" t="inlineStr"/>
      <c r="L69" s="3" t="inlineStr"/>
    </row>
    <row r="70">
      <c r="A70" s="3" t="inlineStr">
        <is>
          <t>임플란트</t>
        </is>
      </c>
      <c r="B70" s="3" t="inlineStr">
        <is>
          <t>시술질환</t>
        </is>
      </c>
      <c r="C70" s="6">
        <f>AVERAGE(월별지수!C70:AL70)</f>
        <v>376.2874506</v>
      </c>
      <c r="D70" s="6">
        <f>AVERAGE(월별지수!C70:N70)</f>
        <v>443.0634134</v>
      </c>
      <c r="E70" s="6">
        <f>AVERAGE(월별지수!O70:Z70)</f>
        <v>397.4915981</v>
      </c>
      <c r="F70" s="6">
        <f>AVERAGE(월별지수!AA70:AL70)</f>
        <v>288.3073403</v>
      </c>
      <c r="G70" s="8">
        <f>IFERROR(F70/D70-1,"")</f>
        <v>-0.3492865092</v>
      </c>
      <c r="H70" s="9">
        <f>IFERROR(STDEVP(월별지수!C70:AL70)/C70,"")</f>
        <v>0.2169518099</v>
      </c>
      <c r="I70" s="10">
        <f>IFERROR(MAX(월별지수!C70:AL70)/MEDIAN(월별지수!C70:AL70),"")</f>
        <v>1.318695401</v>
      </c>
      <c r="J70" s="11">
        <f>INDEX(계절_월별!$B$1:$M$1,MATCH(MAX(계절_월별!B70:M70),계절_월별!B70:M70,0))</f>
        <v>1</v>
      </c>
      <c r="K70" s="3" t="inlineStr"/>
      <c r="L70" s="3" t="inlineStr"/>
    </row>
    <row r="71">
      <c r="A71" s="3" t="inlineStr">
        <is>
          <t>라식</t>
        </is>
      </c>
      <c r="B71" s="3" t="inlineStr">
        <is>
          <t>시술질환</t>
        </is>
      </c>
      <c r="C71" s="6">
        <f>AVERAGE(월별지수!C71:AL71)</f>
        <v>160.3317821</v>
      </c>
      <c r="D71" s="6">
        <f>AVERAGE(월별지수!C71:N71)</f>
        <v>199.7761746</v>
      </c>
      <c r="E71" s="6">
        <f>AVERAGE(월별지수!O71:Z71)</f>
        <v>166.6276755</v>
      </c>
      <c r="F71" s="6">
        <f>AVERAGE(월별지수!AA71:AL71)</f>
        <v>114.5914961</v>
      </c>
      <c r="G71" s="8">
        <f>IFERROR(F71/D71-1,"")</f>
        <v>-0.4264005892</v>
      </c>
      <c r="H71" s="9">
        <f>IFERROR(STDEVP(월별지수!C71:AL71)/C71,"")</f>
        <v>0.2943780643</v>
      </c>
      <c r="I71" s="10">
        <f>IFERROR(MAX(월별지수!C71:AL71)/MEDIAN(월별지수!C71:AL71),"")</f>
        <v>1.711001001</v>
      </c>
      <c r="J71" s="11">
        <f>INDEX(계절_월별!$B$1:$M$1,MATCH(MAX(계절_월별!B71:M71),계절_월별!B71:M71,0))</f>
        <v>1</v>
      </c>
      <c r="K71" s="3" t="inlineStr"/>
      <c r="L71" s="3" t="inlineStr"/>
    </row>
    <row r="72">
      <c r="A72" s="3" t="inlineStr">
        <is>
          <t>도수치료</t>
        </is>
      </c>
      <c r="B72" s="3" t="inlineStr">
        <is>
          <t>시술질환</t>
        </is>
      </c>
      <c r="C72" s="6">
        <f>AVERAGE(월별지수!C72:AL72)</f>
        <v>578.7410889</v>
      </c>
      <c r="D72" s="6">
        <f>AVERAGE(월별지수!C72:N72)</f>
        <v>598.7368894</v>
      </c>
      <c r="E72" s="6">
        <f>AVERAGE(월별지수!O72:Z72)</f>
        <v>544.063337</v>
      </c>
      <c r="F72" s="6">
        <f>AVERAGE(월별지수!AA72:AL72)</f>
        <v>593.4230402</v>
      </c>
      <c r="G72" s="8">
        <f>IFERROR(F72/D72-1,"")</f>
        <v>-0.008875099064</v>
      </c>
      <c r="H72" s="9">
        <f>IFERROR(STDEVP(월별지수!C72:AL72)/C72,"")</f>
        <v>0.3113698001</v>
      </c>
      <c r="I72" s="10">
        <f>IFERROR(MAX(월별지수!C72:AL72)/MEDIAN(월별지수!C72:AL72),"")</f>
        <v>2.215245921</v>
      </c>
      <c r="J72" s="11">
        <f>INDEX(계절_월별!$B$1:$M$1,MATCH(MAX(계절_월별!B72:M72),계절_월별!B72:M72,0))</f>
        <v>6</v>
      </c>
      <c r="K72" s="3" t="inlineStr"/>
      <c r="L72" s="3" t="inlineStr"/>
    </row>
    <row r="73">
      <c r="A73" s="3" t="inlineStr">
        <is>
          <t>여드름치료</t>
        </is>
      </c>
      <c r="B73" s="3" t="inlineStr">
        <is>
          <t>시술질환</t>
        </is>
      </c>
      <c r="C73" s="6">
        <f>AVERAGE(월별지수!C73:AL73)</f>
        <v>32.4220506</v>
      </c>
      <c r="D73" s="6">
        <f>AVERAGE(월별지수!C73:N73)</f>
        <v>35.78757089</v>
      </c>
      <c r="E73" s="6">
        <f>AVERAGE(월별지수!O73:Z73)</f>
        <v>34.81766571</v>
      </c>
      <c r="F73" s="6">
        <f>AVERAGE(월별지수!AA73:AL73)</f>
        <v>26.6609152</v>
      </c>
      <c r="G73" s="8">
        <f>IFERROR(F73/D73-1,"")</f>
        <v>-0.255023056</v>
      </c>
      <c r="H73" s="9">
        <f>IFERROR(STDEVP(월별지수!C73:AL73)/C73,"")</f>
        <v>0.2171929303</v>
      </c>
      <c r="I73" s="10">
        <f>IFERROR(MAX(월별지수!C73:AL73)/MEDIAN(월별지수!C73:AL73),"")</f>
        <v>1.416841861</v>
      </c>
      <c r="J73" s="11">
        <f>INDEX(계절_월별!$B$1:$M$1,MATCH(MAX(계절_월별!B73:M73),계절_월별!B73:M73,0))</f>
        <v>1</v>
      </c>
      <c r="K73" s="3" t="inlineStr"/>
      <c r="L73" s="3" t="inlineStr"/>
    </row>
    <row r="74">
      <c r="A74" s="3" t="inlineStr">
        <is>
          <t>날씨</t>
        </is>
      </c>
      <c r="B74" s="3" t="inlineStr">
        <is>
          <t>대조군</t>
        </is>
      </c>
      <c r="C74" s="6">
        <f>AVERAGE(월별지수!C74:AL74)</f>
        <v>435752.0991</v>
      </c>
      <c r="D74" s="6">
        <f>AVERAGE(월별지수!C74:N74)</f>
        <v>448466.5995</v>
      </c>
      <c r="E74" s="6">
        <f>AVERAGE(월별지수!O74:Z74)</f>
        <v>435855.8398</v>
      </c>
      <c r="F74" s="6">
        <f>AVERAGE(월별지수!AA74:AL74)</f>
        <v>422933.8582</v>
      </c>
      <c r="G74" s="8">
        <f>IFERROR(F74/D74-1,"")</f>
        <v>-0.05693342886</v>
      </c>
      <c r="H74" s="9">
        <f>IFERROR(STDEVP(월별지수!C74:AL74)/C74,"")</f>
        <v>0.222116964</v>
      </c>
      <c r="I74" s="10">
        <f>IFERROR(MAX(월별지수!C74:AL74)/MEDIAN(월별지수!C74:AL74),"")</f>
        <v>1.929026672</v>
      </c>
      <c r="J74" s="11">
        <f>INDEX(계절_월별!$B$1:$M$1,MATCH(MAX(계절_월별!B74:M74),계절_월별!B74:M74,0))</f>
        <v>7</v>
      </c>
      <c r="K74" s="3" t="inlineStr"/>
      <c r="L74" s="3" t="inlineStr"/>
    </row>
    <row r="75">
      <c r="A75" s="3" t="inlineStr">
        <is>
          <t>지하철</t>
        </is>
      </c>
      <c r="B75" s="3" t="inlineStr">
        <is>
          <t>대조군</t>
        </is>
      </c>
      <c r="C75" s="6">
        <f>AVERAGE(월별지수!C75:AL75)</f>
        <v>3123.316039</v>
      </c>
      <c r="D75" s="6">
        <f>AVERAGE(월별지수!C75:N75)</f>
        <v>3560.285022</v>
      </c>
      <c r="E75" s="6">
        <f>AVERAGE(월별지수!O75:Z75)</f>
        <v>3189.956273</v>
      </c>
      <c r="F75" s="6">
        <f>AVERAGE(월별지수!AA75:AL75)</f>
        <v>2619.706822</v>
      </c>
      <c r="G75" s="8">
        <f>IFERROR(F75/D75-1,"")</f>
        <v>-0.2641862081</v>
      </c>
      <c r="H75" s="9">
        <f>IFERROR(STDEVP(월별지수!C75:AL75)/C75,"")</f>
        <v>0.1935880616</v>
      </c>
      <c r="I75" s="10">
        <f>IFERROR(MAX(월별지수!C75:AL75)/MEDIAN(월별지수!C75:AL75),"")</f>
        <v>1.576250135</v>
      </c>
      <c r="J75" s="11">
        <f>INDEX(계절_월별!$B$1:$M$1,MATCH(MAX(계절_월별!B75:M75),계절_월별!B75:M75,0))</f>
        <v>11</v>
      </c>
      <c r="K75" s="3" t="inlineStr"/>
      <c r="L75" s="3" t="inlineStr"/>
    </row>
    <row r="76">
      <c r="A76" s="3" t="inlineStr">
        <is>
          <t>환율</t>
        </is>
      </c>
      <c r="B76" s="3" t="inlineStr">
        <is>
          <t>대조군</t>
        </is>
      </c>
      <c r="C76" s="6">
        <f>AVERAGE(월별지수!C76:AL76)</f>
        <v>169074.6607</v>
      </c>
      <c r="D76" s="6">
        <f>AVERAGE(월별지수!C76:N76)</f>
        <v>124110.3133</v>
      </c>
      <c r="E76" s="6">
        <f>AVERAGE(월별지수!O76:Z76)</f>
        <v>162777.1643</v>
      </c>
      <c r="F76" s="6">
        <f>AVERAGE(월별지수!AA76:AL76)</f>
        <v>220336.5045</v>
      </c>
      <c r="G76" s="8">
        <f>IFERROR(F76/D76-1,"")</f>
        <v>0.7753279207</v>
      </c>
      <c r="H76" s="9">
        <f>IFERROR(STDEVP(월별지수!C76:AL76)/C76,"")</f>
        <v>0.34164131</v>
      </c>
      <c r="I76" s="10">
        <f>IFERROR(MAX(월별지수!C76:AL76)/MEDIAN(월별지수!C76:AL76),"")</f>
        <v>2.281243049</v>
      </c>
      <c r="J76" s="11">
        <f>INDEX(계절_월별!$B$1:$M$1,MATCH(MAX(계절_월별!B76:M76),계절_월별!B76:M76,0))</f>
        <v>12</v>
      </c>
      <c r="K76" s="3" t="inlineStr"/>
      <c r="L76" s="3" t="inlineStr"/>
    </row>
    <row r="77">
      <c r="A77" s="3" t="inlineStr">
        <is>
          <t>로또</t>
        </is>
      </c>
      <c r="B77" s="3" t="inlineStr">
        <is>
          <t>대조군</t>
        </is>
      </c>
      <c r="C77" s="6">
        <f>AVERAGE(월별지수!C77:AL77)</f>
        <v>130087.8333</v>
      </c>
      <c r="D77" s="6">
        <f>AVERAGE(월별지수!C77:N77)</f>
        <v>74365.46435</v>
      </c>
      <c r="E77" s="6">
        <f>AVERAGE(월별지수!O77:Z77)</f>
        <v>149501.0445</v>
      </c>
      <c r="F77" s="6">
        <f>AVERAGE(월별지수!AA77:AL77)</f>
        <v>166396.9912</v>
      </c>
      <c r="G77" s="8">
        <f>IFERROR(F77/D77-1,"")</f>
        <v>1.237557348</v>
      </c>
      <c r="H77" s="9">
        <f>IFERROR(STDEVP(월별지수!C77:AL77)/C77,"")</f>
        <v>0.3485167323</v>
      </c>
      <c r="I77" s="10">
        <f>IFERROR(MAX(월별지수!C77:AL77)/MEDIAN(월별지수!C77:AL77),"")</f>
        <v>1.267597643</v>
      </c>
      <c r="J77" s="11">
        <f>INDEX(계절_월별!$B$1:$M$1,MATCH(MAX(계절_월별!B77:M77),계절_월별!B77:M77,0))</f>
        <v>3</v>
      </c>
      <c r="K77" s="3" t="inlineStr"/>
      <c r="L77" s="3" t="inlineStr"/>
    </row>
    <row r="78">
      <c r="A78" s="3" t="inlineStr">
        <is>
          <t>서울산부인과</t>
        </is>
      </c>
      <c r="B78" s="3" t="inlineStr">
        <is>
          <t>기타진료과(참고)</t>
        </is>
      </c>
      <c r="C78" s="6">
        <f>AVERAGE(월별지수!C78:AL78)</f>
        <v>23.69020722</v>
      </c>
      <c r="D78" s="6">
        <f>AVERAGE(월별지수!C78:N78)</f>
        <v>26.00960708</v>
      </c>
      <c r="E78" s="6">
        <f>AVERAGE(월별지수!O78:Z78)</f>
        <v>24.25137385</v>
      </c>
      <c r="F78" s="6">
        <f>AVERAGE(월별지수!AA78:AL78)</f>
        <v>20.80964073</v>
      </c>
      <c r="G78" s="8">
        <f>IFERROR(F78/D78-1,"")</f>
        <v>-0.199924833</v>
      </c>
      <c r="H78" s="9">
        <f>IFERROR(STDEVP(월별지수!C78:AL78)/C78,"")</f>
        <v>0.1302434395</v>
      </c>
      <c r="I78" s="10">
        <f>IFERROR(MAX(월별지수!C78:AL78)/MEDIAN(월별지수!C78:AL78),"")</f>
        <v>1.359302483</v>
      </c>
      <c r="J78" s="11">
        <f>INDEX(계절_월별!$B$1:$M$1,MATCH(MAX(계절_월별!B78:M78),계절_월별!B78:M78,0))</f>
        <v>8</v>
      </c>
      <c r="K78" s="3" t="inlineStr"/>
      <c r="L78" s="3" t="inlineStr"/>
    </row>
    <row r="79">
      <c r="A79" s="3" t="inlineStr">
        <is>
          <t>서울이비인후과</t>
        </is>
      </c>
      <c r="B79" s="3" t="inlineStr">
        <is>
          <t>기타진료과(참고)</t>
        </is>
      </c>
      <c r="C79" s="6">
        <f>AVERAGE(월별지수!C79:AL79)</f>
        <v>219.7095906</v>
      </c>
      <c r="D79" s="6">
        <f>AVERAGE(월별지수!C79:N79)</f>
        <v>261.3971252</v>
      </c>
      <c r="E79" s="6">
        <f>AVERAGE(월별지수!O79:Z79)</f>
        <v>211.8621824</v>
      </c>
      <c r="F79" s="6">
        <f>AVERAGE(월별지수!AA79:AL79)</f>
        <v>185.8694641</v>
      </c>
      <c r="G79" s="8">
        <f>IFERROR(F79/D79-1,"")</f>
        <v>-0.2889383769</v>
      </c>
      <c r="H79" s="9">
        <f>IFERROR(STDEVP(월별지수!C79:AL79)/C79,"")</f>
        <v>0.2273145106</v>
      </c>
      <c r="I79" s="10">
        <f>IFERROR(MAX(월별지수!C79:AL79)/MEDIAN(월별지수!C79:AL79),"")</f>
        <v>1.535416218</v>
      </c>
      <c r="J79" s="11">
        <f>INDEX(계절_월별!$B$1:$M$1,MATCH(MAX(계절_월별!B79:M79),계절_월별!B79:M79,0))</f>
        <v>12</v>
      </c>
      <c r="K79" s="3" t="inlineStr"/>
      <c r="L79" s="3" t="inlineStr"/>
    </row>
    <row r="80">
      <c r="A80" s="3" t="inlineStr">
        <is>
          <t>서울비뇨기과</t>
        </is>
      </c>
      <c r="B80" s="3" t="inlineStr">
        <is>
          <t>기타진료과(참고)</t>
        </is>
      </c>
      <c r="C80" s="6">
        <f>AVERAGE(월별지수!C80:AL80)</f>
        <v>31.46524658</v>
      </c>
      <c r="D80" s="6">
        <f>AVERAGE(월별지수!C80:N80)</f>
        <v>38.33150605</v>
      </c>
      <c r="E80" s="6">
        <f>AVERAGE(월별지수!O80:Z80)</f>
        <v>33.52838709</v>
      </c>
      <c r="F80" s="6">
        <f>AVERAGE(월별지수!AA80:AL80)</f>
        <v>22.53584659</v>
      </c>
      <c r="G80" s="8">
        <f>IFERROR(F80/D80-1,"")</f>
        <v>-0.4120803246</v>
      </c>
      <c r="H80" s="9">
        <f>IFERROR(STDEVP(월별지수!C80:AL80)/C80,"")</f>
        <v>0.2325759552</v>
      </c>
      <c r="I80" s="10">
        <f>IFERROR(MAX(월별지수!C80:AL80)/MEDIAN(월별지수!C80:AL80),"")</f>
        <v>1.298999623</v>
      </c>
      <c r="J80" s="11">
        <f>INDEX(계절_월별!$B$1:$M$1,MATCH(MAX(계절_월별!B80:M80),계절_월별!B80:M80,0))</f>
        <v>1</v>
      </c>
      <c r="K80" s="3" t="inlineStr"/>
      <c r="L80" s="3" t="inlineStr"/>
    </row>
    <row r="81">
      <c r="A81" s="3" t="inlineStr">
        <is>
          <t>부산이비인후과</t>
        </is>
      </c>
      <c r="B81" s="3" t="inlineStr">
        <is>
          <t>기타진료과(참고)</t>
        </is>
      </c>
      <c r="C81" s="6">
        <f>AVERAGE(월별지수!C81:AL81)</f>
        <v>48.17769517</v>
      </c>
      <c r="D81" s="6">
        <f>AVERAGE(월별지수!C81:N81)</f>
        <v>50.8785221</v>
      </c>
      <c r="E81" s="6">
        <f>AVERAGE(월별지수!O81:Z81)</f>
        <v>49.33205722</v>
      </c>
      <c r="F81" s="6">
        <f>AVERAGE(월별지수!AA81:AL81)</f>
        <v>44.3225062</v>
      </c>
      <c r="G81" s="8">
        <f>IFERROR(F81/D81-1,"")</f>
        <v>-0.1288562565</v>
      </c>
      <c r="H81" s="9">
        <f>IFERROR(STDEVP(월별지수!C81:AL81)/C81,"")</f>
        <v>0.1969927039</v>
      </c>
      <c r="I81" s="10">
        <f>IFERROR(MAX(월별지수!C81:AL81)/MEDIAN(월별지수!C81:AL81),"")</f>
        <v>1.516704298</v>
      </c>
      <c r="J81" s="11">
        <f>INDEX(계절_월별!$B$1:$M$1,MATCH(MAX(계절_월별!B81:M81),계절_월별!B81:M81,0))</f>
        <v>9</v>
      </c>
      <c r="K81" s="3" t="inlineStr"/>
      <c r="L81" s="3" t="inlineStr"/>
    </row>
    <row r="82">
      <c r="A82" s="3" t="inlineStr">
        <is>
          <t>대구이비인후과</t>
        </is>
      </c>
      <c r="B82" s="3" t="inlineStr">
        <is>
          <t>기타진료과(참고)</t>
        </is>
      </c>
      <c r="C82" s="6">
        <f>AVERAGE(월별지수!C82:AL82)</f>
        <v>51.17037502</v>
      </c>
      <c r="D82" s="6">
        <f>AVERAGE(월별지수!C82:N82)</f>
        <v>49.33294612</v>
      </c>
      <c r="E82" s="6">
        <f>AVERAGE(월별지수!O82:Z82)</f>
        <v>49.19591807</v>
      </c>
      <c r="F82" s="6">
        <f>AVERAGE(월별지수!AA82:AL82)</f>
        <v>54.98226086</v>
      </c>
      <c r="G82" s="8">
        <f>IFERROR(F82/D82-1,"")</f>
        <v>0.1145140355</v>
      </c>
      <c r="H82" s="9">
        <f>IFERROR(STDEVP(월별지수!C82:AL82)/C82,"")</f>
        <v>0.3479728805</v>
      </c>
      <c r="I82" s="10">
        <f>IFERROR(MAX(월별지수!C82:AL82)/MEDIAN(월별지수!C82:AL82),"")</f>
        <v>2.803960538</v>
      </c>
      <c r="J82" s="11">
        <f>INDEX(계절_월별!$B$1:$M$1,MATCH(MAX(계절_월별!B82:M82),계절_월별!B82:M82,0))</f>
        <v>12</v>
      </c>
      <c r="K82" s="3" t="inlineStr"/>
      <c r="L82" s="3" t="inlineStr"/>
    </row>
    <row r="83">
      <c r="A83" s="3" t="inlineStr">
        <is>
          <t>부산산부인과</t>
        </is>
      </c>
      <c r="B83" s="3" t="inlineStr">
        <is>
          <t>기타진료과(참고)</t>
        </is>
      </c>
      <c r="C83" s="6">
        <f>AVERAGE(월별지수!C83:AL83)</f>
        <v>39.9020001</v>
      </c>
      <c r="D83" s="6">
        <f>AVERAGE(월별지수!C83:N83)</f>
        <v>45.74439935</v>
      </c>
      <c r="E83" s="6">
        <f>AVERAGE(월별지수!O83:Z83)</f>
        <v>37.9844903</v>
      </c>
      <c r="F83" s="6">
        <f>AVERAGE(월별지수!AA83:AL83)</f>
        <v>35.97711066</v>
      </c>
      <c r="G83" s="8">
        <f>IFERROR(F83/D83-1,"")</f>
        <v>-0.2135187875</v>
      </c>
      <c r="H83" s="9">
        <f>IFERROR(STDEVP(월별지수!C83:AL83)/C83,"")</f>
        <v>0.2083672237</v>
      </c>
      <c r="I83" s="10">
        <f>IFERROR(MAX(월별지수!C83:AL83)/MEDIAN(월별지수!C83:AL83),"")</f>
        <v>2.054395786</v>
      </c>
      <c r="J83" s="11">
        <f>INDEX(계절_월별!$B$1:$M$1,MATCH(MAX(계절_월별!B83:M83),계절_월별!B83:M83,0))</f>
        <v>2</v>
      </c>
      <c r="K83" s="3" t="inlineStr"/>
      <c r="L83" s="3" t="inlineStr"/>
    </row>
    <row r="84">
      <c r="A84" s="3" t="inlineStr">
        <is>
          <t>대구산부인과</t>
        </is>
      </c>
      <c r="B84" s="3" t="inlineStr">
        <is>
          <t>기타진료과(참고)</t>
        </is>
      </c>
      <c r="C84" s="6">
        <f>AVERAGE(월별지수!C84:AL84)</f>
        <v>54.6343497</v>
      </c>
      <c r="D84" s="6">
        <f>AVERAGE(월별지수!C84:N84)</f>
        <v>55.83290591</v>
      </c>
      <c r="E84" s="6">
        <f>AVERAGE(월별지수!O84:Z84)</f>
        <v>56.29025866</v>
      </c>
      <c r="F84" s="6">
        <f>AVERAGE(월별지수!AA84:AL84)</f>
        <v>51.77988452</v>
      </c>
      <c r="G84" s="8">
        <f>IFERROR(F84/D84-1,"")</f>
        <v>-0.07259198359</v>
      </c>
      <c r="H84" s="9">
        <f>IFERROR(STDEVP(월별지수!C84:AL84)/C84,"")</f>
        <v>0.09367704391</v>
      </c>
      <c r="I84" s="10">
        <f>IFERROR(MAX(월별지수!C84:AL84)/MEDIAN(월별지수!C84:AL84),"")</f>
        <v>1.249189541</v>
      </c>
      <c r="J84" s="11">
        <f>INDEX(계절_월별!$B$1:$M$1,MATCH(MAX(계절_월별!B84:M84),계절_월별!B84:M84,0))</f>
        <v>4</v>
      </c>
      <c r="K84" s="3" t="inlineStr"/>
      <c r="L84" s="3" t="inlineStr"/>
    </row>
  </sheetData>
  <autoFilter ref="A1:L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15" customWidth="1" min="5" max="5"/>
    <col width="11" customWidth="1" min="6" max="6"/>
  </cols>
  <sheetData>
    <row r="1">
      <c r="A1" s="5" t="inlineStr">
        <is>
          <t>진료과</t>
        </is>
      </c>
      <c r="B1" s="5" t="inlineStr">
        <is>
          <t>3년 평균</t>
        </is>
      </c>
      <c r="C1" s="5" t="inlineStr">
        <is>
          <t>1년차
2023.09–2024.08</t>
        </is>
      </c>
      <c r="D1" s="5" t="inlineStr">
        <is>
          <t>2년차
2024.09–2025.08</t>
        </is>
      </c>
      <c r="E1" s="5" t="inlineStr">
        <is>
          <t>3년차
2025.09–2026.08</t>
        </is>
      </c>
      <c r="F1" s="5" t="inlineStr">
        <is>
          <t>3년 변화</t>
        </is>
      </c>
    </row>
    <row r="2">
      <c r="A2" s="2" t="inlineStr">
        <is>
          <t>치과</t>
        </is>
      </c>
      <c r="B2" s="6">
        <f>SUMIFS(키워드지표!$C$2:$C$84,키워드지표!$L$2:$L$84,$A2,키워드지표!$B$2:$B$84,"지역명+진료과")</f>
        <v>628</v>
      </c>
      <c r="C2" s="6">
        <f>SUMIFS(키워드지표!$D$2:$D$84,키워드지표!$L$2:$L$84,$A2,키워드지표!$B$2:$B$84,"지역명+진료과")</f>
        <v>620.2</v>
      </c>
      <c r="D2" s="6">
        <f>SUMIFS(키워드지표!$E$2:$E$84,키워드지표!$L$2:$L$84,$A2,키워드지표!$B$2:$B$84,"지역명+진료과")</f>
        <v>701.5</v>
      </c>
      <c r="E2" s="6">
        <f>SUMIFS(키워드지표!$F$2:$F$84,키워드지표!$L$2:$L$84,$A2,키워드지표!$B$2:$B$84,"지역명+진료과")</f>
        <v>562.2</v>
      </c>
      <c r="F2" s="8">
        <f>IFERROR(E2/C2-1,"")</f>
        <v>-0.094</v>
      </c>
    </row>
    <row r="3">
      <c r="A3" s="2" t="inlineStr">
        <is>
          <t>한의원</t>
        </is>
      </c>
      <c r="B3" s="6">
        <f>SUMIFS(키워드지표!$C$2:$C$84,키워드지표!$L$2:$L$84,$A3,키워드지표!$B$2:$B$84,"지역명+진료과")</f>
        <v>262</v>
      </c>
      <c r="C3" s="6">
        <f>SUMIFS(키워드지표!$D$2:$D$84,키워드지표!$L$2:$L$84,$A3,키워드지표!$B$2:$B$84,"지역명+진료과")</f>
        <v>307</v>
      </c>
      <c r="D3" s="6">
        <f>SUMIFS(키워드지표!$E$2:$E$84,키워드지표!$L$2:$L$84,$A3,키워드지표!$B$2:$B$84,"지역명+진료과")</f>
        <v>247.3</v>
      </c>
      <c r="E3" s="6">
        <f>SUMIFS(키워드지표!$F$2:$F$84,키워드지표!$L$2:$L$84,$A3,키워드지표!$B$2:$B$84,"지역명+진료과")</f>
        <v>231.7</v>
      </c>
      <c r="F3" s="8">
        <f>IFERROR(E3/C3-1,"")</f>
        <v>-0.245</v>
      </c>
    </row>
    <row r="4">
      <c r="A4" s="2" t="inlineStr">
        <is>
          <t>피부과</t>
        </is>
      </c>
      <c r="B4" s="6">
        <f>SUMIFS(키워드지표!$C$2:$C$84,키워드지표!$L$2:$L$84,$A4,키워드지표!$B$2:$B$84,"지역명+진료과")</f>
        <v>962.2</v>
      </c>
      <c r="C4" s="6">
        <f>SUMIFS(키워드지표!$D$2:$D$84,키워드지표!$L$2:$L$84,$A4,키워드지표!$B$2:$B$84,"지역명+진료과")</f>
        <v>842.7</v>
      </c>
      <c r="D4" s="6">
        <f>SUMIFS(키워드지표!$E$2:$E$84,키워드지표!$L$2:$L$84,$A4,키워드지표!$B$2:$B$84,"지역명+진료과")</f>
        <v>1075.8</v>
      </c>
      <c r="E4" s="6">
        <f>SUMIFS(키워드지표!$F$2:$F$84,키워드지표!$L$2:$L$84,$A4,키워드지표!$B$2:$B$84,"지역명+진료과")</f>
        <v>968</v>
      </c>
      <c r="F4" s="8">
        <f>IFERROR(E4/C4-1,"")</f>
        <v>0.149</v>
      </c>
    </row>
    <row r="5">
      <c r="A5" s="2" t="inlineStr">
        <is>
          <t>정형외과</t>
        </is>
      </c>
      <c r="B5" s="6">
        <f>SUMIFS(키워드지표!$C$2:$C$84,키워드지표!$L$2:$L$84,$A5,키워드지표!$B$2:$B$84,"지역명+진료과")</f>
        <v>491.5</v>
      </c>
      <c r="C5" s="6">
        <f>SUMIFS(키워드지표!$D$2:$D$84,키워드지표!$L$2:$L$84,$A5,키워드지표!$B$2:$B$84,"지역명+진료과")</f>
        <v>472.5</v>
      </c>
      <c r="D5" s="6">
        <f>SUMIFS(키워드지표!$E$2:$E$84,키워드지표!$L$2:$L$84,$A5,키워드지표!$B$2:$B$84,"지역명+진료과")</f>
        <v>510.4</v>
      </c>
      <c r="E5" s="6">
        <f>SUMIFS(키워드지표!$F$2:$F$84,키워드지표!$L$2:$L$84,$A5,키워드지표!$B$2:$B$84,"지역명+진료과")</f>
        <v>491.6</v>
      </c>
      <c r="F5" s="8">
        <f>IFERROR(E5/C5-1,"")</f>
        <v>0.04</v>
      </c>
    </row>
    <row r="6">
      <c r="A6" s="2" t="inlineStr">
        <is>
          <t>안과</t>
        </is>
      </c>
      <c r="B6" s="6">
        <f>SUMIFS(키워드지표!$C$2:$C$84,키워드지표!$L$2:$L$84,$A6,키워드지표!$B$2:$B$84,"지역명+진료과")</f>
        <v>578.9</v>
      </c>
      <c r="C6" s="6">
        <f>SUMIFS(키워드지표!$D$2:$D$84,키워드지표!$L$2:$L$84,$A6,키워드지표!$B$2:$B$84,"지역명+진료과")</f>
        <v>592.1</v>
      </c>
      <c r="D6" s="6">
        <f>SUMIFS(키워드지표!$E$2:$E$84,키워드지표!$L$2:$L$84,$A6,키워드지표!$B$2:$B$84,"지역명+진료과")</f>
        <v>587.2</v>
      </c>
      <c r="E6" s="6">
        <f>SUMIFS(키워드지표!$F$2:$F$84,키워드지표!$L$2:$L$84,$A6,키워드지표!$B$2:$B$84,"지역명+진료과")</f>
        <v>557.5</v>
      </c>
      <c r="F6" s="8">
        <f>IFERROR(E6/C6-1,"")</f>
        <v>-0.058</v>
      </c>
    </row>
    <row r="7">
      <c r="A7" s="2" t="inlineStr">
        <is>
          <t>내과</t>
        </is>
      </c>
      <c r="B7" s="6">
        <f>SUMIFS(키워드지표!$C$2:$C$84,키워드지표!$L$2:$L$84,$A7,키워드지표!$B$2:$B$84,"지역명+진료과")</f>
        <v>210</v>
      </c>
      <c r="C7" s="6">
        <f>SUMIFS(키워드지표!$D$2:$D$84,키워드지표!$L$2:$L$84,$A7,키워드지표!$B$2:$B$84,"지역명+진료과")</f>
        <v>242.7</v>
      </c>
      <c r="D7" s="6">
        <f>SUMIFS(키워드지표!$E$2:$E$84,키워드지표!$L$2:$L$84,$A7,키워드지표!$B$2:$B$84,"지역명+진료과")</f>
        <v>203.3</v>
      </c>
      <c r="E7" s="6">
        <f>SUMIFS(키워드지표!$F$2:$F$84,키워드지표!$L$2:$L$84,$A7,키워드지표!$B$2:$B$84,"지역명+진료과")</f>
        <v>184</v>
      </c>
      <c r="F7" s="8">
        <f>IFERROR(E7/C7-1,"")</f>
        <v>-0.242</v>
      </c>
    </row>
    <row r="8">
      <c r="A8" s="2" t="inlineStr">
        <is>
          <t>성형외과</t>
        </is>
      </c>
      <c r="B8" s="6">
        <f>SUMIFS(키워드지표!$C$2:$C$84,키워드지표!$L$2:$L$84,$A8,키워드지표!$B$2:$B$84,"지역명+진료과")</f>
        <v>401.9</v>
      </c>
      <c r="C8" s="6">
        <f>SUMIFS(키워드지표!$D$2:$D$84,키워드지표!$L$2:$L$84,$A8,키워드지표!$B$2:$B$84,"지역명+진료과")</f>
        <v>342.9</v>
      </c>
      <c r="D8" s="6">
        <f>SUMIFS(키워드지표!$E$2:$E$84,키워드지표!$L$2:$L$84,$A8,키워드지표!$B$2:$B$84,"지역명+진료과")</f>
        <v>447.1</v>
      </c>
      <c r="E8" s="6">
        <f>SUMIFS(키워드지표!$F$2:$F$84,키워드지표!$L$2:$L$84,$A8,키워드지표!$B$2:$B$84,"지역명+진료과")</f>
        <v>415.6</v>
      </c>
      <c r="F8" s="8">
        <f>IFERROR(E8/C8-1,"")</f>
        <v>0.212</v>
      </c>
    </row>
    <row r="10">
      <c r="A10" s="12" t="inlineStr">
        <is>
          <t>7대 특·광역시 × 7개 진료과 49개 키워드만 합산한 값이다. 중소도시·상권·진료과단독 키워드는 제외.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15" customWidth="1" min="5" max="5"/>
    <col width="11" customWidth="1" min="6" max="6"/>
  </cols>
  <sheetData>
    <row r="1">
      <c r="A1" s="5" t="inlineStr">
        <is>
          <t>지역</t>
        </is>
      </c>
      <c r="B1" s="5" t="inlineStr">
        <is>
          <t>3년 평균</t>
        </is>
      </c>
      <c r="C1" s="5" t="inlineStr">
        <is>
          <t>1년차
2023.09–2024.08</t>
        </is>
      </c>
      <c r="D1" s="5" t="inlineStr">
        <is>
          <t>2년차
2024.09–2025.08</t>
        </is>
      </c>
      <c r="E1" s="5" t="inlineStr">
        <is>
          <t>3년차
2025.09–2026.08</t>
        </is>
      </c>
      <c r="F1" s="5" t="inlineStr">
        <is>
          <t>3년 변화</t>
        </is>
      </c>
    </row>
    <row r="2">
      <c r="A2" s="2" t="inlineStr">
        <is>
          <t>서울</t>
        </is>
      </c>
      <c r="B2" s="6">
        <f>SUMIFS(키워드지표!$C$2:$C$84,키워드지표!$K$2:$K$84,$A2,키워드지표!$B$2:$B$84,"지역명+진료과")</f>
        <v>713.5</v>
      </c>
      <c r="C2" s="6">
        <f>SUMIFS(키워드지표!$D$2:$D$84,키워드지표!$K$2:$K$84,$A2,키워드지표!$B$2:$B$84,"지역명+진료과")</f>
        <v>772.4</v>
      </c>
      <c r="D2" s="6">
        <f>SUMIFS(키워드지표!$E$2:$E$84,키워드지표!$K$2:$K$84,$A2,키워드지표!$B$2:$B$84,"지역명+진료과")</f>
        <v>720.7</v>
      </c>
      <c r="E2" s="6">
        <f>SUMIFS(키워드지표!$F$2:$F$84,키워드지표!$K$2:$K$84,$A2,키워드지표!$B$2:$B$84,"지역명+진료과")</f>
        <v>647.3</v>
      </c>
      <c r="F2" s="8">
        <f>IFERROR(E2/C2-1,"")</f>
        <v>-0.162</v>
      </c>
    </row>
    <row r="3">
      <c r="A3" s="2" t="inlineStr">
        <is>
          <t>부산</t>
        </is>
      </c>
      <c r="B3" s="6">
        <f>SUMIFS(키워드지표!$C$2:$C$84,키워드지표!$K$2:$K$84,$A3,키워드지표!$B$2:$B$84,"지역명+진료과")</f>
        <v>437.1</v>
      </c>
      <c r="C3" s="6">
        <f>SUMIFS(키워드지표!$D$2:$D$84,키워드지표!$K$2:$K$84,$A3,키워드지표!$B$2:$B$84,"지역명+진료과")</f>
        <v>400.6</v>
      </c>
      <c r="D3" s="6">
        <f>SUMIFS(키워드지표!$E$2:$E$84,키워드지표!$K$2:$K$84,$A3,키워드지표!$B$2:$B$84,"지역명+진료과")</f>
        <v>462.6</v>
      </c>
      <c r="E3" s="6">
        <f>SUMIFS(키워드지표!$F$2:$F$84,키워드지표!$K$2:$K$84,$A3,키워드지표!$B$2:$B$84,"지역명+진료과")</f>
        <v>448</v>
      </c>
      <c r="F3" s="8">
        <f>IFERROR(E3/C3-1,"")</f>
        <v>0.118</v>
      </c>
    </row>
    <row r="4">
      <c r="A4" s="2" t="inlineStr">
        <is>
          <t>대구</t>
        </is>
      </c>
      <c r="B4" s="6">
        <f>SUMIFS(키워드지표!$C$2:$C$84,키워드지표!$K$2:$K$84,$A4,키워드지표!$B$2:$B$84,"지역명+진료과")</f>
        <v>599.9</v>
      </c>
      <c r="C4" s="6">
        <f>SUMIFS(키워드지표!$D$2:$D$84,키워드지표!$K$2:$K$84,$A4,키워드지표!$B$2:$B$84,"지역명+진료과")</f>
        <v>554.1</v>
      </c>
      <c r="D4" s="6">
        <f>SUMIFS(키워드지표!$E$2:$E$84,키워드지표!$K$2:$K$84,$A4,키워드지표!$B$2:$B$84,"지역명+진료과")</f>
        <v>657.1</v>
      </c>
      <c r="E4" s="6">
        <f>SUMIFS(키워드지표!$F$2:$F$84,키워드지표!$K$2:$K$84,$A4,키워드지표!$B$2:$B$84,"지역명+진료과")</f>
        <v>588.5</v>
      </c>
      <c r="F4" s="8">
        <f>IFERROR(E4/C4-1,"")</f>
        <v>0.062</v>
      </c>
    </row>
    <row r="5">
      <c r="A5" s="2" t="inlineStr">
        <is>
          <t>인천</t>
        </is>
      </c>
      <c r="B5" s="6">
        <f>SUMIFS(키워드지표!$C$2:$C$84,키워드지표!$K$2:$K$84,$A5,키워드지표!$B$2:$B$84,"지역명+진료과")</f>
        <v>312.3</v>
      </c>
      <c r="C5" s="6">
        <f>SUMIFS(키워드지표!$D$2:$D$84,키워드지표!$K$2:$K$84,$A5,키워드지표!$B$2:$B$84,"지역명+진료과")</f>
        <v>344.7</v>
      </c>
      <c r="D5" s="6">
        <f>SUMIFS(키워드지표!$E$2:$E$84,키워드지표!$K$2:$K$84,$A5,키워드지표!$B$2:$B$84,"지역명+진료과")</f>
        <v>339.3</v>
      </c>
      <c r="E5" s="6">
        <f>SUMIFS(키워드지표!$F$2:$F$84,키워드지표!$K$2:$K$84,$A5,키워드지표!$B$2:$B$84,"지역명+진료과")</f>
        <v>252.9</v>
      </c>
      <c r="F5" s="8">
        <f>IFERROR(E5/C5-1,"")</f>
        <v>-0.266</v>
      </c>
    </row>
    <row r="6">
      <c r="A6" s="2" t="inlineStr">
        <is>
          <t>광주</t>
        </is>
      </c>
      <c r="B6" s="6">
        <f>SUMIFS(키워드지표!$C$2:$C$84,키워드지표!$K$2:$K$84,$A6,키워드지표!$B$2:$B$84,"지역명+진료과")</f>
        <v>483.6</v>
      </c>
      <c r="C6" s="6">
        <f>SUMIFS(키워드지표!$D$2:$D$84,키워드지표!$K$2:$K$84,$A6,키워드지표!$B$2:$B$84,"지역명+진료과")</f>
        <v>467</v>
      </c>
      <c r="D6" s="6">
        <f>SUMIFS(키워드지표!$E$2:$E$84,키워드지표!$K$2:$K$84,$A6,키워드지표!$B$2:$B$84,"지역명+진료과")</f>
        <v>477.4</v>
      </c>
      <c r="E6" s="6">
        <f>SUMIFS(키워드지표!$F$2:$F$84,키워드지표!$K$2:$K$84,$A6,키워드지표!$B$2:$B$84,"지역명+진료과")</f>
        <v>506.3</v>
      </c>
      <c r="F6" s="8">
        <f>IFERROR(E6/C6-1,"")</f>
        <v>0.084</v>
      </c>
    </row>
    <row r="7">
      <c r="A7" s="2" t="inlineStr">
        <is>
          <t>대전</t>
        </is>
      </c>
      <c r="B7" s="6">
        <f>SUMIFS(키워드지표!$C$2:$C$84,키워드지표!$K$2:$K$84,$A7,키워드지표!$B$2:$B$84,"지역명+진료과")</f>
        <v>592.4</v>
      </c>
      <c r="C7" s="6">
        <f>SUMIFS(키워드지표!$D$2:$D$84,키워드지표!$K$2:$K$84,$A7,키워드지표!$B$2:$B$84,"지역명+진료과")</f>
        <v>501.3</v>
      </c>
      <c r="D7" s="6">
        <f>SUMIFS(키워드지표!$E$2:$E$84,키워드지표!$K$2:$K$84,$A7,키워드지표!$B$2:$B$84,"지역명+진료과")</f>
        <v>691.5</v>
      </c>
      <c r="E7" s="6">
        <f>SUMIFS(키워드지표!$F$2:$F$84,키워드지표!$K$2:$K$84,$A7,키워드지표!$B$2:$B$84,"지역명+진료과")</f>
        <v>584.5</v>
      </c>
      <c r="F7" s="8">
        <f>IFERROR(E7/C7-1,"")</f>
        <v>0.166</v>
      </c>
    </row>
    <row r="8">
      <c r="A8" s="2" t="inlineStr">
        <is>
          <t>울산</t>
        </is>
      </c>
      <c r="B8" s="6">
        <f>SUMIFS(키워드지표!$C$2:$C$84,키워드지표!$K$2:$K$84,$A8,키워드지표!$B$2:$B$84,"지역명+진료과")</f>
        <v>395.8</v>
      </c>
      <c r="C8" s="6">
        <f>SUMIFS(키워드지표!$D$2:$D$84,키워드지표!$K$2:$K$84,$A8,키워드지표!$B$2:$B$84,"지역명+진료과")</f>
        <v>380.1</v>
      </c>
      <c r="D8" s="6">
        <f>SUMIFS(키워드지표!$E$2:$E$84,키워드지표!$K$2:$K$84,$A8,키워드지표!$B$2:$B$84,"지역명+진료과")</f>
        <v>424</v>
      </c>
      <c r="E8" s="6">
        <f>SUMIFS(키워드지표!$F$2:$F$84,키워드지표!$K$2:$K$84,$A8,키워드지표!$B$2:$B$84,"지역명+진료과")</f>
        <v>383.2</v>
      </c>
      <c r="F8" s="8">
        <f>IFERROR(E8/C8-1,"")</f>
        <v>0.008</v>
      </c>
    </row>
    <row r="10">
      <c r="A10" s="12" t="inlineStr">
        <is>
          <t>7대 특·광역시 × 7개 진료과 49개 키워드만 합산한 값이다. 중소도시·상권·진료과단독 키워드는 제외.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5" customWidth="1" min="4" max="4"/>
    <col width="15" customWidth="1" min="5" max="5"/>
    <col width="11" customWidth="1" min="6" max="6"/>
    <col width="11" customWidth="1" min="7" max="7"/>
  </cols>
  <sheetData>
    <row r="1">
      <c r="A1" s="13" t="inlineStr">
        <is>
          <t>「환자 검색 수요가 실제로 줄었나」 — 성격이 다른 네 묶음 비교</t>
        </is>
      </c>
    </row>
    <row r="2">
      <c r="A2" s="12" t="inlineStr">
        <is>
          <t>대조군(의료와 무관한 생활 키워드)을 넣은 이유: 네이버 검색 트래픽 자체가 줄고 있다면 모든 키워드가 같이 내려가 의료 수요 감소처럼 보이기 때문이다.</t>
        </is>
      </c>
    </row>
    <row r="4">
      <c r="A4" s="5" t="inlineStr">
        <is>
          <t>묶음</t>
        </is>
      </c>
      <c r="B4" s="5" t="inlineStr">
        <is>
          <t>키워드</t>
        </is>
      </c>
      <c r="C4" s="5" t="inlineStr">
        <is>
          <t>1년차
2023.09–2024.08</t>
        </is>
      </c>
      <c r="D4" s="5" t="inlineStr">
        <is>
          <t>2년차
2024.09–2025.08</t>
        </is>
      </c>
      <c r="E4" s="5" t="inlineStr">
        <is>
          <t>3년차
2025.09–2026.08</t>
        </is>
      </c>
      <c r="F4" s="5" t="inlineStr">
        <is>
          <t>3년 평균</t>
        </is>
      </c>
      <c r="G4" s="5" t="inlineStr">
        <is>
          <t>3년 변화</t>
        </is>
      </c>
    </row>
    <row r="5">
      <c r="A5" s="14" t="inlineStr">
        <is>
          <t>지역명+진료과 (병원 탐색)</t>
        </is>
      </c>
      <c r="B5" s="2" t="inlineStr">
        <is>
          <t>49개 키워드 합산</t>
        </is>
      </c>
      <c r="C5" s="15">
        <f>SUMIFS(키워드지표!$D$2:$D$84,키워드지표!$B$2:$B$84,"지역명+진료과")</f>
        <v>3420.2</v>
      </c>
      <c r="D5" s="15">
        <f>SUMIFS(키워드지표!$E$2:$E$84,키워드지표!$B$2:$B$84,"지역명+진료과")</f>
        <v>3772.7</v>
      </c>
      <c r="E5" s="15">
        <f>SUMIFS(키워드지표!$F$2:$F$84,키워드지표!$B$2:$B$84,"지역명+진료과")</f>
        <v>3410.6</v>
      </c>
      <c r="F5" s="15">
        <f>SUMIFS(키워드지표!$C$2:$C$84,키워드지표!$B$2:$B$84,"지역명+진료과")</f>
        <v>3534.5</v>
      </c>
      <c r="G5" s="16">
        <f>IFERROR(E5/C5-1,"")</f>
        <v>-0.003</v>
      </c>
    </row>
    <row r="6">
      <c r="A6" s="14" t="inlineStr">
        <is>
          <t>진료과 단독 (전국 관심도)</t>
        </is>
      </c>
      <c r="B6" s="3" t="inlineStr">
        <is>
          <t>피부과</t>
        </is>
      </c>
      <c r="C6" s="6">
        <f>IFERROR(INDEX(키워드지표!$D$2:$D$84,MATCH($B6,키워드지표!$A$2:$A$84,0)),"")</f>
        <v>5621.870502</v>
      </c>
      <c r="D6" s="6">
        <f>IFERROR(INDEX(키워드지표!$E$2:$E$84,MATCH($B6,키워드지표!$A$2:$A$84,0)),"")</f>
        <v>5419.936057</v>
      </c>
      <c r="E6" s="6">
        <f>IFERROR(INDEX(키워드지표!$F$2:$F$84,MATCH($B6,키워드지표!$A$2:$A$84,0)),"")</f>
        <v>5141.542793</v>
      </c>
      <c r="F6" s="6">
        <f>IFERROR(INDEX(키워드지표!$C$2:$C$84,MATCH($B6,키워드지표!$A$2:$A$84,0)),"")</f>
        <v>5394.449784</v>
      </c>
      <c r="G6" s="8">
        <f>IFERROR(E6/C6-1,"")</f>
        <v>-0.0854391272</v>
      </c>
    </row>
    <row r="7">
      <c r="A7" s="3" t="inlineStr"/>
      <c r="B7" s="3" t="inlineStr">
        <is>
          <t>치과</t>
        </is>
      </c>
      <c r="C7" s="6">
        <f>IFERROR(INDEX(키워드지표!$D$2:$D$84,MATCH($B7,키워드지표!$A$2:$A$84,0)),"")</f>
        <v>3057.952623</v>
      </c>
      <c r="D7" s="6">
        <f>IFERROR(INDEX(키워드지표!$E$2:$E$84,MATCH($B7,키워드지표!$A$2:$A$84,0)),"")</f>
        <v>2888.599814</v>
      </c>
      <c r="E7" s="6">
        <f>IFERROR(INDEX(키워드지표!$F$2:$F$84,MATCH($B7,키워드지표!$A$2:$A$84,0)),"")</f>
        <v>2736.711116</v>
      </c>
      <c r="F7" s="6">
        <f>IFERROR(INDEX(키워드지표!$C$2:$C$84,MATCH($B7,키워드지표!$A$2:$A$84,0)),"")</f>
        <v>2894.421184</v>
      </c>
      <c r="G7" s="8">
        <f>IFERROR(E7/C7-1,"")</f>
        <v>-0.105051172</v>
      </c>
    </row>
    <row r="8">
      <c r="A8" s="3" t="inlineStr"/>
      <c r="B8" s="3" t="inlineStr">
        <is>
          <t>한의원</t>
        </is>
      </c>
      <c r="C8" s="6">
        <f>IFERROR(INDEX(키워드지표!$D$2:$D$84,MATCH($B8,키워드지표!$A$2:$A$84,0)),"")</f>
        <v>2078.757223</v>
      </c>
      <c r="D8" s="6">
        <f>IFERROR(INDEX(키워드지표!$E$2:$E$84,MATCH($B8,키워드지표!$A$2:$A$84,0)),"")</f>
        <v>1942.676753</v>
      </c>
      <c r="E8" s="6">
        <f>IFERROR(INDEX(키워드지표!$F$2:$F$84,MATCH($B8,키워드지표!$A$2:$A$84,0)),"")</f>
        <v>1725.148352</v>
      </c>
      <c r="F8" s="6">
        <f>IFERROR(INDEX(키워드지표!$C$2:$C$84,MATCH($B8,키워드지표!$A$2:$A$84,0)),"")</f>
        <v>1915.527443</v>
      </c>
      <c r="G8" s="8">
        <f>IFERROR(E8/C8-1,"")</f>
        <v>-0.1701059011</v>
      </c>
    </row>
    <row r="9">
      <c r="A9" s="3" t="inlineStr"/>
      <c r="B9" s="3" t="inlineStr">
        <is>
          <t>내과</t>
        </is>
      </c>
      <c r="C9" s="6">
        <f>IFERROR(INDEX(키워드지표!$D$2:$D$84,MATCH($B9,키워드지표!$A$2:$A$84,0)),"")</f>
        <v>5743.42514</v>
      </c>
      <c r="D9" s="6">
        <f>IFERROR(INDEX(키워드지표!$E$2:$E$84,MATCH($B9,키워드지표!$A$2:$A$84,0)),"")</f>
        <v>5022.888963</v>
      </c>
      <c r="E9" s="6">
        <f>IFERROR(INDEX(키워드지표!$F$2:$F$84,MATCH($B9,키워드지표!$A$2:$A$84,0)),"")</f>
        <v>4542.626921</v>
      </c>
      <c r="F9" s="6">
        <f>IFERROR(INDEX(키워드지표!$C$2:$C$84,MATCH($B9,키워드지표!$A$2:$A$84,0)),"")</f>
        <v>5102.980342</v>
      </c>
      <c r="G9" s="8">
        <f>IFERROR(E9/C9-1,"")</f>
        <v>-0.2090735389</v>
      </c>
    </row>
    <row r="10">
      <c r="A10" s="3" t="inlineStr"/>
      <c r="B10" s="3" t="inlineStr">
        <is>
          <t>정형외과</t>
        </is>
      </c>
      <c r="C10" s="6">
        <f>IFERROR(INDEX(키워드지표!$D$2:$D$84,MATCH($B10,키워드지표!$A$2:$A$84,0)),"")</f>
        <v>5716.092193</v>
      </c>
      <c r="D10" s="6">
        <f>IFERROR(INDEX(키워드지표!$E$2:$E$84,MATCH($B10,키워드지표!$A$2:$A$84,0)),"")</f>
        <v>5321.417455</v>
      </c>
      <c r="E10" s="6">
        <f>IFERROR(INDEX(키워드지표!$F$2:$F$84,MATCH($B10,키워드지표!$A$2:$A$84,0)),"")</f>
        <v>4887.972308</v>
      </c>
      <c r="F10" s="6">
        <f>IFERROR(INDEX(키워드지표!$C$2:$C$84,MATCH($B10,키워드지표!$A$2:$A$84,0)),"")</f>
        <v>5308.493985</v>
      </c>
      <c r="G10" s="8">
        <f>IFERROR(E10/C10-1,"")</f>
        <v>-0.1448751801</v>
      </c>
    </row>
    <row r="11">
      <c r="A11" s="3" t="inlineStr"/>
      <c r="B11" s="3" t="inlineStr">
        <is>
          <t>안과</t>
        </is>
      </c>
      <c r="C11" s="6">
        <f>IFERROR(INDEX(키워드지표!$D$2:$D$84,MATCH($B11,키워드지표!$A$2:$A$84,0)),"")</f>
        <v>3707.55908</v>
      </c>
      <c r="D11" s="6">
        <f>IFERROR(INDEX(키워드지표!$E$2:$E$84,MATCH($B11,키워드지표!$A$2:$A$84,0)),"")</f>
        <v>3502.566262</v>
      </c>
      <c r="E11" s="6">
        <f>IFERROR(INDEX(키워드지표!$F$2:$F$84,MATCH($B11,키워드지표!$A$2:$A$84,0)),"")</f>
        <v>3312.591656</v>
      </c>
      <c r="F11" s="6">
        <f>IFERROR(INDEX(키워드지표!$C$2:$C$84,MATCH($B11,키워드지표!$A$2:$A$84,0)),"")</f>
        <v>3507.572333</v>
      </c>
      <c r="G11" s="8">
        <f>IFERROR(E11/C11-1,"")</f>
        <v>-0.1065303116</v>
      </c>
    </row>
    <row r="12">
      <c r="A12" s="3" t="inlineStr"/>
      <c r="B12" s="3" t="inlineStr">
        <is>
          <t>성형외과</t>
        </is>
      </c>
      <c r="C12" s="6">
        <f>IFERROR(INDEX(키워드지표!$D$2:$D$84,MATCH($B12,키워드지표!$A$2:$A$84,0)),"")</f>
        <v>438.0441279</v>
      </c>
      <c r="D12" s="6">
        <f>IFERROR(INDEX(키워드지표!$E$2:$E$84,MATCH($B12,키워드지표!$A$2:$A$84,0)),"")</f>
        <v>392.0600487</v>
      </c>
      <c r="E12" s="6">
        <f>IFERROR(INDEX(키워드지표!$F$2:$F$84,MATCH($B12,키워드지표!$A$2:$A$84,0)),"")</f>
        <v>347.4989507</v>
      </c>
      <c r="F12" s="6">
        <f>IFERROR(INDEX(키워드지표!$C$2:$C$84,MATCH($B12,키워드지표!$A$2:$A$84,0)),"")</f>
        <v>392.5343758</v>
      </c>
      <c r="G12" s="8">
        <f>IFERROR(E12/C12-1,"")</f>
        <v>-0.2067033239</v>
      </c>
    </row>
    <row r="13">
      <c r="A13" s="3" t="inlineStr"/>
      <c r="B13" s="3" t="inlineStr">
        <is>
          <t>병원</t>
        </is>
      </c>
      <c r="C13" s="6">
        <f>IFERROR(INDEX(키워드지표!$D$2:$D$84,MATCH($B13,키워드지표!$A$2:$A$84,0)),"")</f>
        <v>2513.671558</v>
      </c>
      <c r="D13" s="6">
        <f>IFERROR(INDEX(키워드지표!$E$2:$E$84,MATCH($B13,키워드지표!$A$2:$A$84,0)),"")</f>
        <v>2108.798778</v>
      </c>
      <c r="E13" s="6">
        <f>IFERROR(INDEX(키워드지표!$F$2:$F$84,MATCH($B13,키워드지표!$A$2:$A$84,0)),"")</f>
        <v>1831.379202</v>
      </c>
      <c r="F13" s="6">
        <f>IFERROR(INDEX(키워드지표!$C$2:$C$84,MATCH($B13,키워드지표!$A$2:$A$84,0)),"")</f>
        <v>2151.283179</v>
      </c>
      <c r="G13" s="8">
        <f>IFERROR(E13/C13-1,"")</f>
        <v>-0.27143258</v>
      </c>
    </row>
    <row r="14">
      <c r="A14" s="14" t="inlineStr">
        <is>
          <t>시술·질환 (치료 의향)</t>
        </is>
      </c>
      <c r="B14" s="3" t="inlineStr">
        <is>
          <t>임플란트</t>
        </is>
      </c>
      <c r="C14" s="6">
        <f>IFERROR(INDEX(키워드지표!$D$2:$D$84,MATCH($B14,키워드지표!$A$2:$A$84,0)),"")</f>
        <v>443.0634134</v>
      </c>
      <c r="D14" s="6">
        <f>IFERROR(INDEX(키워드지표!$E$2:$E$84,MATCH($B14,키워드지표!$A$2:$A$84,0)),"")</f>
        <v>397.4915981</v>
      </c>
      <c r="E14" s="6">
        <f>IFERROR(INDEX(키워드지표!$F$2:$F$84,MATCH($B14,키워드지표!$A$2:$A$84,0)),"")</f>
        <v>288.3073403</v>
      </c>
      <c r="F14" s="6">
        <f>IFERROR(INDEX(키워드지표!$C$2:$C$84,MATCH($B14,키워드지표!$A$2:$A$84,0)),"")</f>
        <v>376.2874506</v>
      </c>
      <c r="G14" s="8">
        <f>IFERROR(E14/C14-1,"")</f>
        <v>-0.3492865092</v>
      </c>
    </row>
    <row r="15">
      <c r="A15" s="3" t="inlineStr"/>
      <c r="B15" s="3" t="inlineStr">
        <is>
          <t>라식</t>
        </is>
      </c>
      <c r="C15" s="6">
        <f>IFERROR(INDEX(키워드지표!$D$2:$D$84,MATCH($B15,키워드지표!$A$2:$A$84,0)),"")</f>
        <v>199.7761746</v>
      </c>
      <c r="D15" s="6">
        <f>IFERROR(INDEX(키워드지표!$E$2:$E$84,MATCH($B15,키워드지표!$A$2:$A$84,0)),"")</f>
        <v>166.6276755</v>
      </c>
      <c r="E15" s="6">
        <f>IFERROR(INDEX(키워드지표!$F$2:$F$84,MATCH($B15,키워드지표!$A$2:$A$84,0)),"")</f>
        <v>114.5914961</v>
      </c>
      <c r="F15" s="6">
        <f>IFERROR(INDEX(키워드지표!$C$2:$C$84,MATCH($B15,키워드지표!$A$2:$A$84,0)),"")</f>
        <v>160.3317821</v>
      </c>
      <c r="G15" s="8">
        <f>IFERROR(E15/C15-1,"")</f>
        <v>-0.4264005892</v>
      </c>
    </row>
    <row r="16">
      <c r="A16" s="3" t="inlineStr"/>
      <c r="B16" s="3" t="inlineStr">
        <is>
          <t>도수치료</t>
        </is>
      </c>
      <c r="C16" s="6">
        <f>IFERROR(INDEX(키워드지표!$D$2:$D$84,MATCH($B16,키워드지표!$A$2:$A$84,0)),"")</f>
        <v>598.7368894</v>
      </c>
      <c r="D16" s="6">
        <f>IFERROR(INDEX(키워드지표!$E$2:$E$84,MATCH($B16,키워드지표!$A$2:$A$84,0)),"")</f>
        <v>544.063337</v>
      </c>
      <c r="E16" s="6">
        <f>IFERROR(INDEX(키워드지표!$F$2:$F$84,MATCH($B16,키워드지표!$A$2:$A$84,0)),"")</f>
        <v>593.4230402</v>
      </c>
      <c r="F16" s="6">
        <f>IFERROR(INDEX(키워드지표!$C$2:$C$84,MATCH($B16,키워드지표!$A$2:$A$84,0)),"")</f>
        <v>578.7410889</v>
      </c>
      <c r="G16" s="8">
        <f>IFERROR(E16/C16-1,"")</f>
        <v>-0.008875099064</v>
      </c>
    </row>
    <row r="17">
      <c r="A17" s="3" t="inlineStr"/>
      <c r="B17" s="3" t="inlineStr">
        <is>
          <t>여드름치료</t>
        </is>
      </c>
      <c r="C17" s="6">
        <f>IFERROR(INDEX(키워드지표!$D$2:$D$84,MATCH($B17,키워드지표!$A$2:$A$84,0)),"")</f>
        <v>35.78757089</v>
      </c>
      <c r="D17" s="6">
        <f>IFERROR(INDEX(키워드지표!$E$2:$E$84,MATCH($B17,키워드지표!$A$2:$A$84,0)),"")</f>
        <v>34.81766571</v>
      </c>
      <c r="E17" s="6">
        <f>IFERROR(INDEX(키워드지표!$F$2:$F$84,MATCH($B17,키워드지표!$A$2:$A$84,0)),"")</f>
        <v>26.6609152</v>
      </c>
      <c r="F17" s="6">
        <f>IFERROR(INDEX(키워드지표!$C$2:$C$84,MATCH($B17,키워드지표!$A$2:$A$84,0)),"")</f>
        <v>32.4220506</v>
      </c>
      <c r="G17" s="8">
        <f>IFERROR(E17/C17-1,"")</f>
        <v>-0.255023056</v>
      </c>
    </row>
    <row r="18">
      <c r="A18" s="14" t="inlineStr">
        <is>
          <t>대조군 — 의료와 무관</t>
        </is>
      </c>
      <c r="B18" s="3" t="inlineStr">
        <is>
          <t>날씨</t>
        </is>
      </c>
      <c r="C18" s="6">
        <f>IFERROR(INDEX(키워드지표!$D$2:$D$84,MATCH($B18,키워드지표!$A$2:$A$84,0)),"")</f>
        <v>448466.5995</v>
      </c>
      <c r="D18" s="6">
        <f>IFERROR(INDEX(키워드지표!$E$2:$E$84,MATCH($B18,키워드지표!$A$2:$A$84,0)),"")</f>
        <v>435855.8398</v>
      </c>
      <c r="E18" s="6">
        <f>IFERROR(INDEX(키워드지표!$F$2:$F$84,MATCH($B18,키워드지표!$A$2:$A$84,0)),"")</f>
        <v>422933.8582</v>
      </c>
      <c r="F18" s="6">
        <f>IFERROR(INDEX(키워드지표!$C$2:$C$84,MATCH($B18,키워드지표!$A$2:$A$84,0)),"")</f>
        <v>435752.0991</v>
      </c>
      <c r="G18" s="8">
        <f>IFERROR(E18/C18-1,"")</f>
        <v>-0.05693342886</v>
      </c>
    </row>
    <row r="19">
      <c r="A19" s="3" t="inlineStr"/>
      <c r="B19" s="3" t="inlineStr">
        <is>
          <t>지하철</t>
        </is>
      </c>
      <c r="C19" s="6">
        <f>IFERROR(INDEX(키워드지표!$D$2:$D$84,MATCH($B19,키워드지표!$A$2:$A$84,0)),"")</f>
        <v>3560.285022</v>
      </c>
      <c r="D19" s="6">
        <f>IFERROR(INDEX(키워드지표!$E$2:$E$84,MATCH($B19,키워드지표!$A$2:$A$84,0)),"")</f>
        <v>3189.956273</v>
      </c>
      <c r="E19" s="6">
        <f>IFERROR(INDEX(키워드지표!$F$2:$F$84,MATCH($B19,키워드지표!$A$2:$A$84,0)),"")</f>
        <v>2619.706822</v>
      </c>
      <c r="F19" s="6">
        <f>IFERROR(INDEX(키워드지표!$C$2:$C$84,MATCH($B19,키워드지표!$A$2:$A$84,0)),"")</f>
        <v>3123.316039</v>
      </c>
      <c r="G19" s="8">
        <f>IFERROR(E19/C19-1,"")</f>
        <v>-0.2641862081</v>
      </c>
    </row>
    <row r="20">
      <c r="A20" s="3" t="inlineStr"/>
      <c r="B20" s="3" t="inlineStr">
        <is>
          <t>환율</t>
        </is>
      </c>
      <c r="C20" s="6">
        <f>IFERROR(INDEX(키워드지표!$D$2:$D$84,MATCH($B20,키워드지표!$A$2:$A$84,0)),"")</f>
        <v>124110.3133</v>
      </c>
      <c r="D20" s="6">
        <f>IFERROR(INDEX(키워드지표!$E$2:$E$84,MATCH($B20,키워드지표!$A$2:$A$84,0)),"")</f>
        <v>162777.1643</v>
      </c>
      <c r="E20" s="6">
        <f>IFERROR(INDEX(키워드지표!$F$2:$F$84,MATCH($B20,키워드지표!$A$2:$A$84,0)),"")</f>
        <v>220336.5045</v>
      </c>
      <c r="F20" s="6">
        <f>IFERROR(INDEX(키워드지표!$C$2:$C$84,MATCH($B20,키워드지표!$A$2:$A$84,0)),"")</f>
        <v>169074.6607</v>
      </c>
      <c r="G20" s="8">
        <f>IFERROR(E20/C20-1,"")</f>
        <v>0.7753279207</v>
      </c>
    </row>
    <row r="21">
      <c r="A21" s="3" t="inlineStr"/>
      <c r="B21" s="3" t="inlineStr">
        <is>
          <t>로또</t>
        </is>
      </c>
      <c r="C21" s="6">
        <f>IFERROR(INDEX(키워드지표!$D$2:$D$84,MATCH($B21,키워드지표!$A$2:$A$84,0)),"")</f>
        <v>74365.46435</v>
      </c>
      <c r="D21" s="6">
        <f>IFERROR(INDEX(키워드지표!$E$2:$E$84,MATCH($B21,키워드지표!$A$2:$A$84,0)),"")</f>
        <v>149501.0445</v>
      </c>
      <c r="E21" s="6">
        <f>IFERROR(INDEX(키워드지표!$F$2:$F$84,MATCH($B21,키워드지표!$A$2:$A$84,0)),"")</f>
        <v>166396.9912</v>
      </c>
      <c r="F21" s="6">
        <f>IFERROR(INDEX(키워드지표!$C$2:$C$84,MATCH($B21,키워드지표!$A$2:$A$84,0)),"")</f>
        <v>130087.8333</v>
      </c>
      <c r="G21" s="8">
        <f>IFERROR(E21/C21-1,"")</f>
        <v>1.237557348</v>
      </c>
    </row>
    <row r="23">
      <c r="A23" s="12" t="inlineStr"/>
    </row>
    <row r="24">
      <c r="A24" s="17" t="inlineStr">
        <is>
          <t>읽는 법</t>
        </is>
      </c>
    </row>
    <row r="25">
      <c r="A25" s="12" t="inlineStr">
        <is>
          <t>① 대조군은 일률적으로 내려가지 않았다(로또·환율 큰 폭 상승). 따라서 네이버 지수 전반의 하향 편향은 없고, 의료 키워드 하락은 실제 신호다.</t>
        </is>
      </c>
    </row>
    <row r="26">
      <c r="A26" s="12" t="inlineStr">
        <is>
          <t>② 시장 축소의 증거는 시술 키워드에 있다. 라식·임플란트는 지도앱으로 대체되지 않으므로 치료 의향 자체가 빠졌다고 읽는 편이 자연스럽다.</t>
        </is>
      </c>
    </row>
    <row r="27">
      <c r="A27" s="12" t="inlineStr">
        <is>
          <t>③ 그런데 지역명+진료과 총량은 거의 그대로다. 줄어든 게 아니라 자리가 바뀌었다 — 내과·한의원에서 피부과·성형외과로, 수도권에서 지방으로.</t>
        </is>
      </c>
    </row>
    <row r="28">
      <c r="A28" s="12" t="inlineStr">
        <is>
          <t>④ 대조군 안에서도 지하철·날씨가 내려간 것은 「검색창 → 앱」 이동 흔적이다. 「병원」 단독 검색의 낙폭이 이와 비슷한 점은 병원 찾기가 지도·플레이스로 옮겨갔을 가능성을 시사한다.</t>
        </is>
      </c>
    </row>
    <row r="29">
      <c r="A29" s="12" t="inlineStr"/>
    </row>
    <row r="30">
      <c r="A30" s="12" t="inlineStr">
        <is>
          <t>주의 — 도수치료는 실손보험 제도 이슈로 2026년 6월 지수가 100까지 튄 예외 계열이라 추세로 읽으면 안 된다. 시술 키워드 4개는 진료과 전체를 대표하지 않는다.</t>
        </is>
      </c>
    </row>
    <row r="31">
      <c r="A31" s="12" t="inlineStr">
        <is>
          <t>묶음끼리 절대 크기는 비교하지 말 것. 같은 행의 연차별 변화만 볼 것.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46" customWidth="1" min="3" max="3"/>
    <col width="15" customWidth="1" min="4" max="4"/>
    <col width="15" customWidth="1" min="5" max="5"/>
    <col width="15" customWidth="1" min="6" max="6"/>
    <col width="11" customWidth="1" min="7" max="7"/>
    <col width="11" customWidth="1" min="8" max="8"/>
    <col width="9" customWidth="1" min="9" max="9"/>
  </cols>
  <sheetData>
    <row r="1">
      <c r="A1" s="13" t="inlineStr">
        <is>
          <t>진료과별 대표 키워드 상위 3개 (7대 특·광역시 안에서 · 도시 후보 수가 같아 진료과끼리 공정 비교)</t>
        </is>
      </c>
    </row>
    <row r="3">
      <c r="A3" s="5" t="inlineStr">
        <is>
          <t>진료과</t>
        </is>
      </c>
      <c r="B3" s="5" t="inlineStr">
        <is>
          <t>순위</t>
        </is>
      </c>
      <c r="C3" s="5" t="inlineStr">
        <is>
          <t>키워드</t>
        </is>
      </c>
      <c r="D3" s="5" t="inlineStr">
        <is>
          <t>1년차
2023.09–2024.08</t>
        </is>
      </c>
      <c r="E3" s="5" t="inlineStr">
        <is>
          <t>2년차
2024.09–2025.08</t>
        </is>
      </c>
      <c r="F3" s="5" t="inlineStr">
        <is>
          <t>3년차
2025.09–2026.08</t>
        </is>
      </c>
      <c r="G3" s="5" t="inlineStr">
        <is>
          <t>3년 평균</t>
        </is>
      </c>
      <c r="H3" s="5" t="inlineStr">
        <is>
          <t>3년 변화</t>
        </is>
      </c>
      <c r="I3" s="5" t="inlineStr">
        <is>
          <t>피크월</t>
        </is>
      </c>
    </row>
    <row r="4">
      <c r="A4" s="14" t="inlineStr">
        <is>
          <t>치과</t>
        </is>
      </c>
      <c r="B4" s="18" t="n">
        <v>1</v>
      </c>
      <c r="C4" s="3" t="inlineStr">
        <is>
          <t>대구치과</t>
        </is>
      </c>
      <c r="D4" s="6">
        <f>IFERROR(INDEX(키워드지표!$D$2:$D$84,MATCH($C4,키워드지표!$A$2:$A$84,0)),"")</f>
        <v>120.2</v>
      </c>
      <c r="E4" s="6">
        <f>IFERROR(INDEX(키워드지표!$E$2:$E$84,MATCH($C4,키워드지표!$A$2:$A$84,0)),"")</f>
        <v>134.9</v>
      </c>
      <c r="F4" s="6">
        <f>IFERROR(INDEX(키워드지표!$F$2:$F$84,MATCH($C4,키워드지표!$A$2:$A$84,0)),"")</f>
        <v>111.6</v>
      </c>
      <c r="G4" s="6">
        <f>IFERROR(INDEX(키워드지표!$C$2:$C$84,MATCH($C4,키워드지표!$A$2:$A$84,0)),"")</f>
        <v>122.2</v>
      </c>
      <c r="H4" s="8">
        <f>IFERROR(F4/D4-1,"")</f>
        <v>-0.072</v>
      </c>
      <c r="I4" s="11">
        <f>IFERROR(INDEX(키워드지표!$J$2:$J$84,MATCH($C4,키워드지표!$A$2:$A$84,0)),"")</f>
        <v>3</v>
      </c>
    </row>
    <row r="5">
      <c r="A5" s="3" t="inlineStr"/>
      <c r="B5" s="18" t="n">
        <v>2</v>
      </c>
      <c r="C5" s="3" t="inlineStr">
        <is>
          <t>대전치과</t>
        </is>
      </c>
      <c r="D5" s="6">
        <f>IFERROR(INDEX(키워드지표!$D$2:$D$84,MATCH($C5,키워드지표!$A$2:$A$84,0)),"")</f>
        <v>84.6</v>
      </c>
      <c r="E5" s="6">
        <f>IFERROR(INDEX(키워드지표!$E$2:$E$84,MATCH($C5,키워드지표!$A$2:$A$84,0)),"")</f>
        <v>129.1</v>
      </c>
      <c r="F5" s="6">
        <f>IFERROR(INDEX(키워드지표!$F$2:$F$84,MATCH($C5,키워드지표!$A$2:$A$84,0)),"")</f>
        <v>100.8</v>
      </c>
      <c r="G5" s="6">
        <f>IFERROR(INDEX(키워드지표!$C$2:$C$84,MATCH($C5,키워드지표!$A$2:$A$84,0)),"")</f>
        <v>104.8</v>
      </c>
      <c r="H5" s="8">
        <f>IFERROR(F5/D5-1,"")</f>
        <v>0.192</v>
      </c>
      <c r="I5" s="11">
        <f>IFERROR(INDEX(키워드지표!$J$2:$J$84,MATCH($C5,키워드지표!$A$2:$A$84,0)),"")</f>
        <v>3</v>
      </c>
    </row>
    <row r="6">
      <c r="A6" s="3" t="inlineStr"/>
      <c r="B6" s="18" t="n">
        <v>3</v>
      </c>
      <c r="C6" s="3" t="inlineStr">
        <is>
          <t>부산치과</t>
        </is>
      </c>
      <c r="D6" s="6">
        <f>IFERROR(INDEX(키워드지표!$D$2:$D$84,MATCH($C6,키워드지표!$A$2:$A$84,0)),"")</f>
        <v>99.5</v>
      </c>
      <c r="E6" s="6">
        <f>IFERROR(INDEX(키워드지표!$E$2:$E$84,MATCH($C6,키워드지표!$A$2:$A$84,0)),"")</f>
        <v>96.9</v>
      </c>
      <c r="F6" s="6">
        <f>IFERROR(INDEX(키워드지표!$F$2:$F$84,MATCH($C6,키워드지표!$A$2:$A$84,0)),"")</f>
        <v>80</v>
      </c>
      <c r="G6" s="6">
        <f>IFERROR(INDEX(키워드지표!$C$2:$C$84,MATCH($C6,키워드지표!$A$2:$A$84,0)),"")</f>
        <v>92.1</v>
      </c>
      <c r="H6" s="8">
        <f>IFERROR(F6/D6-1,"")</f>
        <v>-0.195</v>
      </c>
      <c r="I6" s="11">
        <f>IFERROR(INDEX(키워드지표!$J$2:$J$84,MATCH($C6,키워드지표!$A$2:$A$84,0)),"")</f>
        <v>7</v>
      </c>
    </row>
    <row r="7">
      <c r="C7" s="12" t="inlineStr">
        <is>
          <t>7대 도시 밖 참고 — 수원치과 155.8 · 강남치과 154.5 · 청주치과 149.1 · 천안치과 109.1 · 부평치과 106.5</t>
        </is>
      </c>
    </row>
    <row r="8">
      <c r="A8" s="14" t="inlineStr">
        <is>
          <t>한의원</t>
        </is>
      </c>
      <c r="B8" s="18" t="n">
        <v>1</v>
      </c>
      <c r="C8" s="3" t="inlineStr">
        <is>
          <t>인천한의원</t>
        </is>
      </c>
      <c r="D8" s="6">
        <f>IFERROR(INDEX(키워드지표!$D$2:$D$84,MATCH($C8,키워드지표!$A$2:$A$84,0)),"")</f>
        <v>89.2</v>
      </c>
      <c r="E8" s="6">
        <f>IFERROR(INDEX(키워드지표!$E$2:$E$84,MATCH($C8,키워드지표!$A$2:$A$84,0)),"")</f>
        <v>46.3</v>
      </c>
      <c r="F8" s="6">
        <f>IFERROR(INDEX(키워드지표!$F$2:$F$84,MATCH($C8,키워드지표!$A$2:$A$84,0)),"")</f>
        <v>42</v>
      </c>
      <c r="G8" s="6">
        <f>IFERROR(INDEX(키워드지표!$C$2:$C$84,MATCH($C8,키워드지표!$A$2:$A$84,0)),"")</f>
        <v>59.2</v>
      </c>
      <c r="H8" s="8">
        <f>IFERROR(F8/D8-1,"")</f>
        <v>-0.529</v>
      </c>
      <c r="I8" s="11">
        <f>IFERROR(INDEX(키워드지표!$J$2:$J$84,MATCH($C8,키워드지표!$A$2:$A$84,0)),"")</f>
        <v>11</v>
      </c>
    </row>
    <row r="9">
      <c r="A9" s="3" t="inlineStr"/>
      <c r="B9" s="18" t="n">
        <v>2</v>
      </c>
      <c r="C9" s="3" t="inlineStr">
        <is>
          <t>대구한의원</t>
        </is>
      </c>
      <c r="D9" s="6">
        <f>IFERROR(INDEX(키워드지표!$D$2:$D$84,MATCH($C9,키워드지표!$A$2:$A$84,0)),"")</f>
        <v>50.6</v>
      </c>
      <c r="E9" s="6">
        <f>IFERROR(INDEX(키워드지표!$E$2:$E$84,MATCH($C9,키워드지표!$A$2:$A$84,0)),"")</f>
        <v>46.3</v>
      </c>
      <c r="F9" s="6">
        <f>IFERROR(INDEX(키워드지표!$F$2:$F$84,MATCH($C9,키워드지표!$A$2:$A$84,0)),"")</f>
        <v>32.9</v>
      </c>
      <c r="G9" s="6">
        <f>IFERROR(INDEX(키워드지표!$C$2:$C$84,MATCH($C9,키워드지표!$A$2:$A$84,0)),"")</f>
        <v>43.3</v>
      </c>
      <c r="H9" s="8">
        <f>IFERROR(F9/D9-1,"")</f>
        <v>-0.351</v>
      </c>
      <c r="I9" s="11">
        <f>IFERROR(INDEX(키워드지표!$J$2:$J$84,MATCH($C9,키워드지표!$A$2:$A$84,0)),"")</f>
        <v>4</v>
      </c>
    </row>
    <row r="10">
      <c r="A10" s="3" t="inlineStr"/>
      <c r="B10" s="18" t="n">
        <v>3</v>
      </c>
      <c r="C10" s="3" t="inlineStr">
        <is>
          <t>부산한의원</t>
        </is>
      </c>
      <c r="D10" s="6">
        <f>IFERROR(INDEX(키워드지표!$D$2:$D$84,MATCH($C10,키워드지표!$A$2:$A$84,0)),"")</f>
        <v>58</v>
      </c>
      <c r="E10" s="6">
        <f>IFERROR(INDEX(키워드지표!$E$2:$E$84,MATCH($C10,키워드지표!$A$2:$A$84,0)),"")</f>
        <v>28.8</v>
      </c>
      <c r="F10" s="6">
        <f>IFERROR(INDEX(키워드지표!$F$2:$F$84,MATCH($C10,키워드지표!$A$2:$A$84,0)),"")</f>
        <v>37</v>
      </c>
      <c r="G10" s="6">
        <f>IFERROR(INDEX(키워드지표!$C$2:$C$84,MATCH($C10,키워드지표!$A$2:$A$84,0)),"")</f>
        <v>41.3</v>
      </c>
      <c r="H10" s="8">
        <f>IFERROR(F10/D10-1,"")</f>
        <v>-0.361</v>
      </c>
      <c r="I10" s="11">
        <f>IFERROR(INDEX(키워드지표!$J$2:$J$84,MATCH($C10,키워드지표!$A$2:$A$84,0)),"")</f>
        <v>10</v>
      </c>
    </row>
    <row r="11">
      <c r="A11" s="14" t="inlineStr">
        <is>
          <t>피부과</t>
        </is>
      </c>
      <c r="B11" s="18" t="n">
        <v>1</v>
      </c>
      <c r="C11" s="3" t="inlineStr">
        <is>
          <t>대전피부과</t>
        </is>
      </c>
      <c r="D11" s="6">
        <f>IFERROR(INDEX(키워드지표!$D$2:$D$84,MATCH($C11,키워드지표!$A$2:$A$84,0)),"")</f>
        <v>174.5</v>
      </c>
      <c r="E11" s="6">
        <f>IFERROR(INDEX(키워드지표!$E$2:$E$84,MATCH($C11,키워드지표!$A$2:$A$84,0)),"")</f>
        <v>300.9</v>
      </c>
      <c r="F11" s="6">
        <f>IFERROR(INDEX(키워드지표!$F$2:$F$84,MATCH($C11,키워드지표!$A$2:$A$84,0)),"")</f>
        <v>226.1</v>
      </c>
      <c r="G11" s="6">
        <f>IFERROR(INDEX(키워드지표!$C$2:$C$84,MATCH($C11,키워드지표!$A$2:$A$84,0)),"")</f>
        <v>233.8</v>
      </c>
      <c r="H11" s="8">
        <f>IFERROR(F11/D11-1,"")</f>
        <v>0.296</v>
      </c>
      <c r="I11" s="11">
        <f>IFERROR(INDEX(키워드지표!$J$2:$J$84,MATCH($C11,키워드지표!$A$2:$A$84,0)),"")</f>
        <v>4</v>
      </c>
    </row>
    <row r="12">
      <c r="A12" s="3" t="inlineStr"/>
      <c r="B12" s="18" t="n">
        <v>2</v>
      </c>
      <c r="C12" s="3" t="inlineStr">
        <is>
          <t>대구피부과</t>
        </is>
      </c>
      <c r="D12" s="6">
        <f>IFERROR(INDEX(키워드지표!$D$2:$D$84,MATCH($C12,키워드지표!$A$2:$A$84,0)),"")</f>
        <v>146</v>
      </c>
      <c r="E12" s="6">
        <f>IFERROR(INDEX(키워드지표!$E$2:$E$84,MATCH($C12,키워드지표!$A$2:$A$84,0)),"")</f>
        <v>172.6</v>
      </c>
      <c r="F12" s="6">
        <f>IFERROR(INDEX(키워드지표!$F$2:$F$84,MATCH($C12,키워드지표!$A$2:$A$84,0)),"")</f>
        <v>164.5</v>
      </c>
      <c r="G12" s="6">
        <f>IFERROR(INDEX(키워드지표!$C$2:$C$84,MATCH($C12,키워드지표!$A$2:$A$84,0)),"")</f>
        <v>161</v>
      </c>
      <c r="H12" s="8">
        <f>IFERROR(F12/D12-1,"")</f>
        <v>0.126</v>
      </c>
      <c r="I12" s="11">
        <f>IFERROR(INDEX(키워드지표!$J$2:$J$84,MATCH($C12,키워드지표!$A$2:$A$84,0)),"")</f>
        <v>4</v>
      </c>
    </row>
    <row r="13">
      <c r="A13" s="3" t="inlineStr"/>
      <c r="B13" s="18" t="n">
        <v>3</v>
      </c>
      <c r="C13" s="3" t="inlineStr">
        <is>
          <t>광주피부과</t>
        </is>
      </c>
      <c r="D13" s="6">
        <f>IFERROR(INDEX(키워드지표!$D$2:$D$84,MATCH($C13,키워드지표!$A$2:$A$84,0)),"")</f>
        <v>126.8</v>
      </c>
      <c r="E13" s="6">
        <f>IFERROR(INDEX(키워드지표!$E$2:$E$84,MATCH($C13,키워드지표!$A$2:$A$84,0)),"")</f>
        <v>131.1</v>
      </c>
      <c r="F13" s="6">
        <f>IFERROR(INDEX(키워드지표!$F$2:$F$84,MATCH($C13,키워드지표!$A$2:$A$84,0)),"")</f>
        <v>161.1</v>
      </c>
      <c r="G13" s="6">
        <f>IFERROR(INDEX(키워드지표!$C$2:$C$84,MATCH($C13,키워드지표!$A$2:$A$84,0)),"")</f>
        <v>139.7</v>
      </c>
      <c r="H13" s="8">
        <f>IFERROR(F13/D13-1,"")</f>
        <v>0.271</v>
      </c>
      <c r="I13" s="11">
        <f>IFERROR(INDEX(키워드지표!$J$2:$J$84,MATCH($C13,키워드지표!$A$2:$A$84,0)),"")</f>
        <v>2</v>
      </c>
    </row>
    <row r="14">
      <c r="C14" s="12" t="inlineStr">
        <is>
          <t>7대 도시 밖 참고 — 서면피부과 219.4 · 강남피부과 215.2 · 수원피부과 194.2</t>
        </is>
      </c>
    </row>
    <row r="15">
      <c r="A15" s="14" t="inlineStr">
        <is>
          <t>정형외과</t>
        </is>
      </c>
      <c r="B15" s="18" t="n">
        <v>1</v>
      </c>
      <c r="C15" s="3" t="inlineStr">
        <is>
          <t>서울정형외과</t>
        </is>
      </c>
      <c r="D15" s="6">
        <f>IFERROR(INDEX(키워드지표!$D$2:$D$84,MATCH($C15,키워드지표!$A$2:$A$84,0)),"")</f>
        <v>186.1</v>
      </c>
      <c r="E15" s="6">
        <f>IFERROR(INDEX(키워드지표!$E$2:$E$84,MATCH($C15,키워드지표!$A$2:$A$84,0)),"")</f>
        <v>179.8</v>
      </c>
      <c r="F15" s="6">
        <f>IFERROR(INDEX(키워드지표!$F$2:$F$84,MATCH($C15,키워드지표!$A$2:$A$84,0)),"")</f>
        <v>164.5</v>
      </c>
      <c r="G15" s="6">
        <f>IFERROR(INDEX(키워드지표!$C$2:$C$84,MATCH($C15,키워드지표!$A$2:$A$84,0)),"")</f>
        <v>176.8</v>
      </c>
      <c r="H15" s="8">
        <f>IFERROR(F15/D15-1,"")</f>
        <v>-0.116</v>
      </c>
      <c r="I15" s="11">
        <f>IFERROR(INDEX(키워드지표!$J$2:$J$84,MATCH($C15,키워드지표!$A$2:$A$84,0)),"")</f>
        <v>5</v>
      </c>
    </row>
    <row r="16">
      <c r="A16" s="3" t="inlineStr"/>
      <c r="B16" s="18" t="n">
        <v>2</v>
      </c>
      <c r="C16" s="3" t="inlineStr">
        <is>
          <t>대전정형외과</t>
        </is>
      </c>
      <c r="D16" s="6">
        <f>IFERROR(INDEX(키워드지표!$D$2:$D$84,MATCH($C16,키워드지표!$A$2:$A$84,0)),"")</f>
        <v>67.6</v>
      </c>
      <c r="E16" s="6">
        <f>IFERROR(INDEX(키워드지표!$E$2:$E$84,MATCH($C16,키워드지표!$A$2:$A$84,0)),"")</f>
        <v>80.1</v>
      </c>
      <c r="F16" s="6">
        <f>IFERROR(INDEX(키워드지표!$F$2:$F$84,MATCH($C16,키워드지표!$A$2:$A$84,0)),"")</f>
        <v>81.3</v>
      </c>
      <c r="G16" s="6">
        <f>IFERROR(INDEX(키워드지표!$C$2:$C$84,MATCH($C16,키워드지표!$A$2:$A$84,0)),"")</f>
        <v>76.4</v>
      </c>
      <c r="H16" s="8">
        <f>IFERROR(F16/D16-1,"")</f>
        <v>0.203</v>
      </c>
      <c r="I16" s="11">
        <f>IFERROR(INDEX(키워드지표!$J$2:$J$84,MATCH($C16,키워드지표!$A$2:$A$84,0)),"")</f>
        <v>4</v>
      </c>
    </row>
    <row r="17">
      <c r="A17" s="3" t="inlineStr"/>
      <c r="B17" s="18" t="n">
        <v>3</v>
      </c>
      <c r="C17" s="3" t="inlineStr">
        <is>
          <t>대구정형외과</t>
        </is>
      </c>
      <c r="D17" s="6">
        <f>IFERROR(INDEX(키워드지표!$D$2:$D$84,MATCH($C17,키워드지표!$A$2:$A$84,0)),"")</f>
        <v>51.3</v>
      </c>
      <c r="E17" s="6">
        <f>IFERROR(INDEX(키워드지표!$E$2:$E$84,MATCH($C17,키워드지표!$A$2:$A$84,0)),"")</f>
        <v>76.6</v>
      </c>
      <c r="F17" s="6">
        <f>IFERROR(INDEX(키워드지표!$F$2:$F$84,MATCH($C17,키워드지표!$A$2:$A$84,0)),"")</f>
        <v>67.6</v>
      </c>
      <c r="G17" s="6">
        <f>IFERROR(INDEX(키워드지표!$C$2:$C$84,MATCH($C17,키워드지표!$A$2:$A$84,0)),"")</f>
        <v>65.2</v>
      </c>
      <c r="H17" s="8">
        <f>IFERROR(F17/D17-1,"")</f>
        <v>0.316</v>
      </c>
      <c r="I17" s="11">
        <f>IFERROR(INDEX(키워드지표!$J$2:$J$84,MATCH($C17,키워드지표!$A$2:$A$84,0)),"")</f>
        <v>6</v>
      </c>
    </row>
    <row r="18">
      <c r="A18" s="14" t="inlineStr">
        <is>
          <t>안과</t>
        </is>
      </c>
      <c r="B18" s="18" t="n">
        <v>1</v>
      </c>
      <c r="C18" s="3" t="inlineStr">
        <is>
          <t>서울안과</t>
        </is>
      </c>
      <c r="D18" s="6">
        <f>IFERROR(INDEX(키워드지표!$D$2:$D$84,MATCH($C18,키워드지표!$A$2:$A$84,0)),"")</f>
        <v>231.1</v>
      </c>
      <c r="E18" s="6">
        <f>IFERROR(INDEX(키워드지표!$E$2:$E$84,MATCH($C18,키워드지표!$A$2:$A$84,0)),"")</f>
        <v>215.8</v>
      </c>
      <c r="F18" s="6">
        <f>IFERROR(INDEX(키워드지표!$F$2:$F$84,MATCH($C18,키워드지표!$A$2:$A$84,0)),"")</f>
        <v>196.6</v>
      </c>
      <c r="G18" s="6">
        <f>IFERROR(INDEX(키워드지표!$C$2:$C$84,MATCH($C18,키워드지표!$A$2:$A$84,0)),"")</f>
        <v>214.5</v>
      </c>
      <c r="H18" s="8">
        <f>IFERROR(F18/D18-1,"")</f>
        <v>-0.15</v>
      </c>
      <c r="I18" s="11">
        <f>IFERROR(INDEX(키워드지표!$J$2:$J$84,MATCH($C18,키워드지표!$A$2:$A$84,0)),"")</f>
        <v>8</v>
      </c>
    </row>
    <row r="19">
      <c r="A19" s="3" t="inlineStr"/>
      <c r="B19" s="18" t="n">
        <v>2</v>
      </c>
      <c r="C19" s="3" t="inlineStr">
        <is>
          <t>광주안과</t>
        </is>
      </c>
      <c r="D19" s="6">
        <f>IFERROR(INDEX(키워드지표!$D$2:$D$84,MATCH($C19,키워드지표!$A$2:$A$84,0)),"")</f>
        <v>129.6</v>
      </c>
      <c r="E19" s="6">
        <f>IFERROR(INDEX(키워드지표!$E$2:$E$84,MATCH($C19,키워드지표!$A$2:$A$84,0)),"")</f>
        <v>134.5</v>
      </c>
      <c r="F19" s="6">
        <f>IFERROR(INDEX(키워드지표!$F$2:$F$84,MATCH($C19,키워드지표!$A$2:$A$84,0)),"")</f>
        <v>132.1</v>
      </c>
      <c r="G19" s="6">
        <f>IFERROR(INDEX(키워드지표!$C$2:$C$84,MATCH($C19,키워드지표!$A$2:$A$84,0)),"")</f>
        <v>132.1</v>
      </c>
      <c r="H19" s="8">
        <f>IFERROR(F19/D19-1,"")</f>
        <v>0.019</v>
      </c>
      <c r="I19" s="11">
        <f>IFERROR(INDEX(키워드지표!$J$2:$J$84,MATCH($C19,키워드지표!$A$2:$A$84,0)),"")</f>
        <v>1</v>
      </c>
    </row>
    <row r="20">
      <c r="A20" s="3" t="inlineStr"/>
      <c r="B20" s="18" t="n">
        <v>3</v>
      </c>
      <c r="C20" s="3" t="inlineStr">
        <is>
          <t>대구안과</t>
        </is>
      </c>
      <c r="D20" s="6">
        <f>IFERROR(INDEX(키워드지표!$D$2:$D$84,MATCH($C20,키워드지표!$A$2:$A$84,0)),"")</f>
        <v>68</v>
      </c>
      <c r="E20" s="6">
        <f>IFERROR(INDEX(키워드지표!$E$2:$E$84,MATCH($C20,키워드지표!$A$2:$A$84,0)),"")</f>
        <v>66.8</v>
      </c>
      <c r="F20" s="6">
        <f>IFERROR(INDEX(키워드지표!$F$2:$F$84,MATCH($C20,키워드지표!$A$2:$A$84,0)),"")</f>
        <v>64.7</v>
      </c>
      <c r="G20" s="6">
        <f>IFERROR(INDEX(키워드지표!$C$2:$C$84,MATCH($C20,키워드지표!$A$2:$A$84,0)),"")</f>
        <v>66.5</v>
      </c>
      <c r="H20" s="8">
        <f>IFERROR(F20/D20-1,"")</f>
        <v>-0.049</v>
      </c>
      <c r="I20" s="11">
        <f>IFERROR(INDEX(키워드지표!$J$2:$J$84,MATCH($C20,키워드지표!$A$2:$A$84,0)),"")</f>
        <v>8</v>
      </c>
    </row>
    <row r="21">
      <c r="A21" s="14" t="inlineStr">
        <is>
          <t>내과</t>
        </is>
      </c>
      <c r="B21" s="18" t="n">
        <v>1</v>
      </c>
      <c r="C21" s="3" t="inlineStr">
        <is>
          <t>서울내과</t>
        </is>
      </c>
      <c r="D21" s="6">
        <f>IFERROR(INDEX(키워드지표!$D$2:$D$84,MATCH($C21,키워드지표!$A$2:$A$84,0)),"")</f>
        <v>88.7</v>
      </c>
      <c r="E21" s="6">
        <f>IFERROR(INDEX(키워드지표!$E$2:$E$84,MATCH($C21,키워드지표!$A$2:$A$84,0)),"")</f>
        <v>75</v>
      </c>
      <c r="F21" s="6">
        <f>IFERROR(INDEX(키워드지표!$F$2:$F$84,MATCH($C21,키워드지표!$A$2:$A$84,0)),"")</f>
        <v>65.5</v>
      </c>
      <c r="G21" s="6">
        <f>IFERROR(INDEX(키워드지표!$C$2:$C$84,MATCH($C21,키워드지표!$A$2:$A$84,0)),"")</f>
        <v>76.4</v>
      </c>
      <c r="H21" s="8">
        <f>IFERROR(F21/D21-1,"")</f>
        <v>-0.261</v>
      </c>
      <c r="I21" s="11">
        <f>IFERROR(INDEX(키워드지표!$J$2:$J$84,MATCH($C21,키워드지표!$A$2:$A$84,0)),"")</f>
        <v>12</v>
      </c>
    </row>
    <row r="22">
      <c r="A22" s="3" t="inlineStr"/>
      <c r="B22" s="18" t="n">
        <v>2</v>
      </c>
      <c r="C22" s="3" t="inlineStr">
        <is>
          <t>대전내과</t>
        </is>
      </c>
      <c r="D22" s="6">
        <f>IFERROR(INDEX(키워드지표!$D$2:$D$84,MATCH($C22,키워드지표!$A$2:$A$84,0)),"")</f>
        <v>38.6</v>
      </c>
      <c r="E22" s="6">
        <f>IFERROR(INDEX(키워드지표!$E$2:$E$84,MATCH($C22,키워드지표!$A$2:$A$84,0)),"")</f>
        <v>32.3</v>
      </c>
      <c r="F22" s="6">
        <f>IFERROR(INDEX(키워드지표!$F$2:$F$84,MATCH($C22,키워드지표!$A$2:$A$84,0)),"")</f>
        <v>28.2</v>
      </c>
      <c r="G22" s="6">
        <f>IFERROR(INDEX(키워드지표!$C$2:$C$84,MATCH($C22,키워드지표!$A$2:$A$84,0)),"")</f>
        <v>33</v>
      </c>
      <c r="H22" s="8">
        <f>IFERROR(F22/D22-1,"")</f>
        <v>-0.27</v>
      </c>
      <c r="I22" s="11">
        <f>IFERROR(INDEX(키워드지표!$J$2:$J$84,MATCH($C22,키워드지표!$A$2:$A$84,0)),"")</f>
        <v>10</v>
      </c>
    </row>
    <row r="23">
      <c r="A23" s="3" t="inlineStr"/>
      <c r="B23" s="18" t="n">
        <v>3</v>
      </c>
      <c r="C23" s="3" t="inlineStr">
        <is>
          <t>울산내과</t>
        </is>
      </c>
      <c r="D23" s="6">
        <f>IFERROR(INDEX(키워드지표!$D$2:$D$84,MATCH($C23,키워드지표!$A$2:$A$84,0)),"")</f>
        <v>33.9</v>
      </c>
      <c r="E23" s="6">
        <f>IFERROR(INDEX(키워드지표!$E$2:$E$84,MATCH($C23,키워드지표!$A$2:$A$84,0)),"")</f>
        <v>26.5</v>
      </c>
      <c r="F23" s="6">
        <f>IFERROR(INDEX(키워드지표!$F$2:$F$84,MATCH($C23,키워드지표!$A$2:$A$84,0)),"")</f>
        <v>23.1</v>
      </c>
      <c r="G23" s="6">
        <f>IFERROR(INDEX(키워드지표!$C$2:$C$84,MATCH($C23,키워드지표!$A$2:$A$84,0)),"")</f>
        <v>27.8</v>
      </c>
      <c r="H23" s="8">
        <f>IFERROR(F23/D23-1,"")</f>
        <v>-0.319</v>
      </c>
      <c r="I23" s="11">
        <f>IFERROR(INDEX(키워드지표!$J$2:$J$84,MATCH($C23,키워드지표!$A$2:$A$84,0)),"")</f>
        <v>1</v>
      </c>
    </row>
    <row r="24">
      <c r="A24" s="14" t="inlineStr">
        <is>
          <t>성형외과</t>
        </is>
      </c>
      <c r="B24" s="18" t="n">
        <v>1</v>
      </c>
      <c r="C24" s="3" t="inlineStr">
        <is>
          <t>대구성형외과</t>
        </is>
      </c>
      <c r="D24" s="6">
        <f>IFERROR(INDEX(키워드지표!$D$2:$D$84,MATCH($C24,키워드지표!$A$2:$A$84,0)),"")</f>
        <v>92.1</v>
      </c>
      <c r="E24" s="6">
        <f>IFERROR(INDEX(키워드지표!$E$2:$E$84,MATCH($C24,키워드지표!$A$2:$A$84,0)),"")</f>
        <v>137.9</v>
      </c>
      <c r="F24" s="6">
        <f>IFERROR(INDEX(키워드지표!$F$2:$F$84,MATCH($C24,키워드지표!$A$2:$A$84,0)),"")</f>
        <v>126.4</v>
      </c>
      <c r="G24" s="6">
        <f>IFERROR(INDEX(키워드지표!$C$2:$C$84,MATCH($C24,키워드지표!$A$2:$A$84,0)),"")</f>
        <v>118.8</v>
      </c>
      <c r="H24" s="8">
        <f>IFERROR(F24/D24-1,"")</f>
        <v>0.373</v>
      </c>
      <c r="I24" s="11">
        <f>IFERROR(INDEX(키워드지표!$J$2:$J$84,MATCH($C24,키워드지표!$A$2:$A$84,0)),"")</f>
        <v>3</v>
      </c>
    </row>
    <row r="25">
      <c r="A25" s="3" t="inlineStr"/>
      <c r="B25" s="18" t="n">
        <v>2</v>
      </c>
      <c r="C25" s="3" t="inlineStr">
        <is>
          <t>부산성형외과</t>
        </is>
      </c>
      <c r="D25" s="6">
        <f>IFERROR(INDEX(키워드지표!$D$2:$D$84,MATCH($C25,키워드지표!$A$2:$A$84,0)),"")</f>
        <v>53</v>
      </c>
      <c r="E25" s="6">
        <f>IFERROR(INDEX(키워드지표!$E$2:$E$84,MATCH($C25,키워드지표!$A$2:$A$84,0)),"")</f>
        <v>83.6</v>
      </c>
      <c r="F25" s="6">
        <f>IFERROR(INDEX(키워드지표!$F$2:$F$84,MATCH($C25,키워드지표!$A$2:$A$84,0)),"")</f>
        <v>96.6</v>
      </c>
      <c r="G25" s="6">
        <f>IFERROR(INDEX(키워드지표!$C$2:$C$84,MATCH($C25,키워드지표!$A$2:$A$84,0)),"")</f>
        <v>77.7</v>
      </c>
      <c r="H25" s="8">
        <f>IFERROR(F25/D25-1,"")</f>
        <v>0.822</v>
      </c>
      <c r="I25" s="11">
        <f>IFERROR(INDEX(키워드지표!$J$2:$J$84,MATCH($C25,키워드지표!$A$2:$A$84,0)),"")</f>
        <v>7</v>
      </c>
    </row>
    <row r="26">
      <c r="A26" s="3" t="inlineStr"/>
      <c r="B26" s="18" t="n">
        <v>3</v>
      </c>
      <c r="C26" s="3" t="inlineStr">
        <is>
          <t>광주성형외과</t>
        </is>
      </c>
      <c r="D26" s="6">
        <f>IFERROR(INDEX(키워드지표!$D$2:$D$84,MATCH($C26,키워드지표!$A$2:$A$84,0)),"")</f>
        <v>56</v>
      </c>
      <c r="E26" s="6">
        <f>IFERROR(INDEX(키워드지표!$E$2:$E$84,MATCH($C26,키워드지표!$A$2:$A$84,0)),"")</f>
        <v>49.3</v>
      </c>
      <c r="F26" s="6">
        <f>IFERROR(INDEX(키워드지표!$F$2:$F$84,MATCH($C26,키워드지표!$A$2:$A$84,0)),"")</f>
        <v>63.8</v>
      </c>
      <c r="G26" s="6">
        <f>IFERROR(INDEX(키워드지표!$C$2:$C$84,MATCH($C26,키워드지표!$A$2:$A$84,0)),"")</f>
        <v>56.4</v>
      </c>
      <c r="H26" s="8">
        <f>IFERROR(F26/D26-1,"")</f>
        <v>0.139</v>
      </c>
      <c r="I26" s="11">
        <f>IFERROR(INDEX(키워드지표!$J$2:$J$84,MATCH($C26,키워드지표!$A$2:$A$84,0)),"")</f>
        <v>12</v>
      </c>
    </row>
    <row r="28">
      <c r="A28" s="12" t="inlineStr">
        <is>
          <t>순위는 7대 도시 안에서만 매겼다. 중소도시·상권 키워드는 수집 범위가 진료과마다 달라 순위에 넣지 않고 참고로만 적었다.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① 수요 규모 — 3년 평균 지수 (서울피부과 36개월 평균 = 100)</t>
        </is>
      </c>
    </row>
    <row r="2">
      <c r="A2" s="5" t="inlineStr">
        <is>
          <t>진료과</t>
        </is>
      </c>
      <c r="B2" s="5" t="inlineStr">
        <is>
          <t>서울</t>
        </is>
      </c>
      <c r="C2" s="5" t="inlineStr">
        <is>
          <t>부산</t>
        </is>
      </c>
      <c r="D2" s="5" t="inlineStr">
        <is>
          <t>대구</t>
        </is>
      </c>
      <c r="E2" s="5" t="inlineStr">
        <is>
          <t>인천</t>
        </is>
      </c>
      <c r="F2" s="5" t="inlineStr">
        <is>
          <t>광주</t>
        </is>
      </c>
      <c r="G2" s="5" t="inlineStr">
        <is>
          <t>대전</t>
        </is>
      </c>
      <c r="H2" s="5" t="inlineStr">
        <is>
          <t>울산</t>
        </is>
      </c>
      <c r="I2" s="5" t="inlineStr">
        <is>
          <t>합계</t>
        </is>
      </c>
    </row>
    <row r="3">
      <c r="A3" s="2" t="inlineStr">
        <is>
          <t>치과</t>
        </is>
      </c>
      <c r="B3" s="6">
        <f>IFERROR(INDEX(키워드지표!$C$2:$C$84,MATCH(B$2&amp;$A3,키워드지표!$A$2:$A$84,0)),"")</f>
        <v>86.9</v>
      </c>
      <c r="C3" s="6">
        <f>IFERROR(INDEX(키워드지표!$C$2:$C$84,MATCH(C$2&amp;$A3,키워드지표!$A$2:$A$84,0)),"")</f>
        <v>92.1</v>
      </c>
      <c r="D3" s="6">
        <f>IFERROR(INDEX(키워드지표!$C$2:$C$84,MATCH(D$2&amp;$A3,키워드지표!$A$2:$A$84,0)),"")</f>
        <v>122.2</v>
      </c>
      <c r="E3" s="6">
        <f>IFERROR(INDEX(키워드지표!$C$2:$C$84,MATCH(E$2&amp;$A3,키워드지표!$A$2:$A$84,0)),"")</f>
        <v>63.8</v>
      </c>
      <c r="F3" s="6">
        <f>IFERROR(INDEX(키워드지표!$C$2:$C$84,MATCH(F$2&amp;$A3,키워드지표!$A$2:$A$84,0)),"")</f>
        <v>67.6</v>
      </c>
      <c r="G3" s="6">
        <f>IFERROR(INDEX(키워드지표!$C$2:$C$84,MATCH(G$2&amp;$A3,키워드지표!$A$2:$A$84,0)),"")</f>
        <v>104.8</v>
      </c>
      <c r="H3" s="6">
        <f>IFERROR(INDEX(키워드지표!$C$2:$C$84,MATCH(H$2&amp;$A3,키워드지표!$A$2:$A$84,0)),"")</f>
        <v>90.6</v>
      </c>
      <c r="I3" s="15">
        <f>SUM(B3:H3)</f>
        <v>628</v>
      </c>
    </row>
    <row r="4">
      <c r="A4" s="2" t="inlineStr">
        <is>
          <t>한의원</t>
        </is>
      </c>
      <c r="B4" s="6">
        <f>IFERROR(INDEX(키워드지표!$C$2:$C$84,MATCH(B$2&amp;$A4,키워드지표!$A$2:$A$84,0)),"")</f>
        <v>27.2</v>
      </c>
      <c r="C4" s="6">
        <f>IFERROR(INDEX(키워드지표!$C$2:$C$84,MATCH(C$2&amp;$A4,키워드지표!$A$2:$A$84,0)),"")</f>
        <v>41.3</v>
      </c>
      <c r="D4" s="6">
        <f>IFERROR(INDEX(키워드지표!$C$2:$C$84,MATCH(D$2&amp;$A4,키워드지표!$A$2:$A$84,0)),"")</f>
        <v>43.3</v>
      </c>
      <c r="E4" s="6">
        <f>IFERROR(INDEX(키워드지표!$C$2:$C$84,MATCH(E$2&amp;$A4,키워드지표!$A$2:$A$84,0)),"")</f>
        <v>59.2</v>
      </c>
      <c r="F4" s="6">
        <f>IFERROR(INDEX(키워드지표!$C$2:$C$84,MATCH(F$2&amp;$A4,키워드지표!$A$2:$A$84,0)),"")</f>
        <v>22.6</v>
      </c>
      <c r="G4" s="6">
        <f>IFERROR(INDEX(키워드지표!$C$2:$C$84,MATCH(G$2&amp;$A4,키워드지표!$A$2:$A$84,0)),"")</f>
        <v>39</v>
      </c>
      <c r="H4" s="6">
        <f>IFERROR(INDEX(키워드지표!$C$2:$C$84,MATCH(H$2&amp;$A4,키워드지표!$A$2:$A$84,0)),"")</f>
        <v>29.5</v>
      </c>
      <c r="I4" s="15">
        <f>SUM(B4:H4)</f>
        <v>262</v>
      </c>
    </row>
    <row r="5">
      <c r="A5" s="2" t="inlineStr">
        <is>
          <t>피부과</t>
        </is>
      </c>
      <c r="B5" s="6">
        <f>IFERROR(INDEX(키워드지표!$C$2:$C$84,MATCH(B$2&amp;$A5,키워드지표!$A$2:$A$84,0)),"")</f>
        <v>100</v>
      </c>
      <c r="C5" s="6">
        <f>IFERROR(INDEX(키워드지표!$C$2:$C$84,MATCH(C$2&amp;$A5,키워드지표!$A$2:$A$84,0)),"")</f>
        <v>108.1</v>
      </c>
      <c r="D5" s="6">
        <f>IFERROR(INDEX(키워드지표!$C$2:$C$84,MATCH(D$2&amp;$A5,키워드지표!$A$2:$A$84,0)),"")</f>
        <v>161</v>
      </c>
      <c r="E5" s="6">
        <f>IFERROR(INDEX(키워드지표!$C$2:$C$84,MATCH(E$2&amp;$A5,키워드지표!$A$2:$A$84,0)),"")</f>
        <v>83.8</v>
      </c>
      <c r="F5" s="6">
        <f>IFERROR(INDEX(키워드지표!$C$2:$C$84,MATCH(F$2&amp;$A5,키워드지표!$A$2:$A$84,0)),"")</f>
        <v>139.7</v>
      </c>
      <c r="G5" s="6">
        <f>IFERROR(INDEX(키워드지표!$C$2:$C$84,MATCH(G$2&amp;$A5,키워드지표!$A$2:$A$84,0)),"")</f>
        <v>233.8</v>
      </c>
      <c r="H5" s="6">
        <f>IFERROR(INDEX(키워드지표!$C$2:$C$84,MATCH(H$2&amp;$A5,키워드지표!$A$2:$A$84,0)),"")</f>
        <v>135.8</v>
      </c>
      <c r="I5" s="15">
        <f>SUM(B5:H5)</f>
        <v>962.2</v>
      </c>
    </row>
    <row r="6">
      <c r="A6" s="2" t="inlineStr">
        <is>
          <t>정형외과</t>
        </is>
      </c>
      <c r="B6" s="6">
        <f>IFERROR(INDEX(키워드지표!$C$2:$C$84,MATCH(B$2&amp;$A6,키워드지표!$A$2:$A$84,0)),"")</f>
        <v>176.8</v>
      </c>
      <c r="C6" s="6">
        <f>IFERROR(INDEX(키워드지표!$C$2:$C$84,MATCH(C$2&amp;$A6,키워드지표!$A$2:$A$84,0)),"")</f>
        <v>49.7</v>
      </c>
      <c r="D6" s="6">
        <f>IFERROR(INDEX(키워드지표!$C$2:$C$84,MATCH(D$2&amp;$A6,키워드지표!$A$2:$A$84,0)),"")</f>
        <v>65.2</v>
      </c>
      <c r="E6" s="6">
        <f>IFERROR(INDEX(키워드지표!$C$2:$C$84,MATCH(E$2&amp;$A6,키워드지표!$A$2:$A$84,0)),"")</f>
        <v>31.4</v>
      </c>
      <c r="F6" s="6">
        <f>IFERROR(INDEX(키워드지표!$C$2:$C$84,MATCH(F$2&amp;$A6,키워드지표!$A$2:$A$84,0)),"")</f>
        <v>46.6</v>
      </c>
      <c r="G6" s="6">
        <f>IFERROR(INDEX(키워드지표!$C$2:$C$84,MATCH(G$2&amp;$A6,키워드지표!$A$2:$A$84,0)),"")</f>
        <v>76.4</v>
      </c>
      <c r="H6" s="6">
        <f>IFERROR(INDEX(키워드지표!$C$2:$C$84,MATCH(H$2&amp;$A6,키워드지표!$A$2:$A$84,0)),"")</f>
        <v>45.5</v>
      </c>
      <c r="I6" s="15">
        <f>SUM(B6:H6)</f>
        <v>491.5</v>
      </c>
    </row>
    <row r="7">
      <c r="A7" s="2" t="inlineStr">
        <is>
          <t>안과</t>
        </is>
      </c>
      <c r="B7" s="6">
        <f>IFERROR(INDEX(키워드지표!$C$2:$C$84,MATCH(B$2&amp;$A7,키워드지표!$A$2:$A$84,0)),"")</f>
        <v>214.5</v>
      </c>
      <c r="C7" s="6">
        <f>IFERROR(INDEX(키워드지표!$C$2:$C$84,MATCH(C$2&amp;$A7,키워드지표!$A$2:$A$84,0)),"")</f>
        <v>48.6</v>
      </c>
      <c r="D7" s="6">
        <f>IFERROR(INDEX(키워드지표!$C$2:$C$84,MATCH(D$2&amp;$A7,키워드지표!$A$2:$A$84,0)),"")</f>
        <v>66.5</v>
      </c>
      <c r="E7" s="6">
        <f>IFERROR(INDEX(키워드지표!$C$2:$C$84,MATCH(E$2&amp;$A7,키워드지표!$A$2:$A$84,0)),"")</f>
        <v>19.5</v>
      </c>
      <c r="F7" s="6">
        <f>IFERROR(INDEX(키워드지표!$C$2:$C$84,MATCH(F$2&amp;$A7,키워드지표!$A$2:$A$84,0)),"")</f>
        <v>132.1</v>
      </c>
      <c r="G7" s="6">
        <f>IFERROR(INDEX(키워드지표!$C$2:$C$84,MATCH(G$2&amp;$A7,키워드지표!$A$2:$A$84,0)),"")</f>
        <v>55</v>
      </c>
      <c r="H7" s="6">
        <f>IFERROR(INDEX(키워드지표!$C$2:$C$84,MATCH(H$2&amp;$A7,키워드지표!$A$2:$A$84,0)),"")</f>
        <v>42.9</v>
      </c>
      <c r="I7" s="15">
        <f>SUM(B7:H7)</f>
        <v>578.9</v>
      </c>
    </row>
    <row r="8">
      <c r="A8" s="2" t="inlineStr">
        <is>
          <t>내과</t>
        </is>
      </c>
      <c r="B8" s="6">
        <f>IFERROR(INDEX(키워드지표!$C$2:$C$84,MATCH(B$2&amp;$A8,키워드지표!$A$2:$A$84,0)),"")</f>
        <v>76.4</v>
      </c>
      <c r="C8" s="6">
        <f>IFERROR(INDEX(키워드지표!$C$2:$C$84,MATCH(C$2&amp;$A8,키워드지표!$A$2:$A$84,0)),"")</f>
        <v>19.6</v>
      </c>
      <c r="D8" s="6">
        <f>IFERROR(INDEX(키워드지표!$C$2:$C$84,MATCH(D$2&amp;$A8,키워드지표!$A$2:$A$84,0)),"")</f>
        <v>22.9</v>
      </c>
      <c r="E8" s="6">
        <f>IFERROR(INDEX(키워드지표!$C$2:$C$84,MATCH(E$2&amp;$A8,키워드지표!$A$2:$A$84,0)),"")</f>
        <v>11.6</v>
      </c>
      <c r="F8" s="6">
        <f>IFERROR(INDEX(키워드지표!$C$2:$C$84,MATCH(F$2&amp;$A8,키워드지표!$A$2:$A$84,0)),"")</f>
        <v>18.7</v>
      </c>
      <c r="G8" s="6">
        <f>IFERROR(INDEX(키워드지표!$C$2:$C$84,MATCH(G$2&amp;$A8,키워드지표!$A$2:$A$84,0)),"")</f>
        <v>33</v>
      </c>
      <c r="H8" s="6">
        <f>IFERROR(INDEX(키워드지표!$C$2:$C$84,MATCH(H$2&amp;$A8,키워드지표!$A$2:$A$84,0)),"")</f>
        <v>27.8</v>
      </c>
      <c r="I8" s="15">
        <f>SUM(B8:H8)</f>
        <v>210</v>
      </c>
    </row>
    <row r="9">
      <c r="A9" s="2" t="inlineStr">
        <is>
          <t>성형외과</t>
        </is>
      </c>
      <c r="B9" s="6">
        <f>IFERROR(INDEX(키워드지표!$C$2:$C$84,MATCH(B$2&amp;$A9,키워드지표!$A$2:$A$84,0)),"")</f>
        <v>31.6</v>
      </c>
      <c r="C9" s="6">
        <f>IFERROR(INDEX(키워드지표!$C$2:$C$84,MATCH(C$2&amp;$A9,키워드지표!$A$2:$A$84,0)),"")</f>
        <v>77.7</v>
      </c>
      <c r="D9" s="6">
        <f>IFERROR(INDEX(키워드지표!$C$2:$C$84,MATCH(D$2&amp;$A9,키워드지표!$A$2:$A$84,0)),"")</f>
        <v>118.8</v>
      </c>
      <c r="E9" s="6">
        <f>IFERROR(INDEX(키워드지표!$C$2:$C$84,MATCH(E$2&amp;$A9,키워드지표!$A$2:$A$84,0)),"")</f>
        <v>43.2</v>
      </c>
      <c r="F9" s="6">
        <f>IFERROR(INDEX(키워드지표!$C$2:$C$84,MATCH(F$2&amp;$A9,키워드지표!$A$2:$A$84,0)),"")</f>
        <v>56.4</v>
      </c>
      <c r="G9" s="6">
        <f>IFERROR(INDEX(키워드지표!$C$2:$C$84,MATCH(G$2&amp;$A9,키워드지표!$A$2:$A$84,0)),"")</f>
        <v>50.5</v>
      </c>
      <c r="H9" s="6">
        <f>IFERROR(INDEX(키워드지표!$C$2:$C$84,MATCH(H$2&amp;$A9,키워드지표!$A$2:$A$84,0)),"")</f>
        <v>23.7</v>
      </c>
      <c r="I9" s="15">
        <f>SUM(B9:H9)</f>
        <v>401.9</v>
      </c>
    </row>
    <row r="12">
      <c r="A12" s="4" t="inlineStr">
        <is>
          <t>② 3년 변화율 — 3년차 ÷ 1년차 − 1</t>
        </is>
      </c>
    </row>
    <row r="13">
      <c r="A13" s="5" t="inlineStr">
        <is>
          <t>진료과</t>
        </is>
      </c>
      <c r="B13" s="5" t="inlineStr">
        <is>
          <t>서울</t>
        </is>
      </c>
      <c r="C13" s="5" t="inlineStr">
        <is>
          <t>부산</t>
        </is>
      </c>
      <c r="D13" s="5" t="inlineStr">
        <is>
          <t>대구</t>
        </is>
      </c>
      <c r="E13" s="5" t="inlineStr">
        <is>
          <t>인천</t>
        </is>
      </c>
      <c r="F13" s="5" t="inlineStr">
        <is>
          <t>광주</t>
        </is>
      </c>
      <c r="G13" s="5" t="inlineStr">
        <is>
          <t>대전</t>
        </is>
      </c>
      <c r="H13" s="5" t="inlineStr">
        <is>
          <t>울산</t>
        </is>
      </c>
      <c r="I13" s="5" t="inlineStr"/>
    </row>
    <row r="14">
      <c r="A14" s="2" t="inlineStr">
        <is>
          <t>치과</t>
        </is>
      </c>
      <c r="B14" s="8">
        <f>IFERROR(INDEX(키워드지표!$F$2:$F$84,MATCH(B$13&amp;$A14,키워드지표!$A$2:$A$84,0))/INDEX(키워드지표!$D$2:$D$84,MATCH(B$13&amp;$A14,키워드지표!$A$2:$A$84,0))-1,"")</f>
        <v>-0.157</v>
      </c>
      <c r="C14" s="8">
        <f>IFERROR(INDEX(키워드지표!$F$2:$F$84,MATCH(C$13&amp;$A14,키워드지표!$A$2:$A$84,0))/INDEX(키워드지표!$D$2:$D$84,MATCH(C$13&amp;$A14,키워드지표!$A$2:$A$84,0))-1,"")</f>
        <v>-0.195</v>
      </c>
      <c r="D14" s="8">
        <f>IFERROR(INDEX(키워드지표!$F$2:$F$84,MATCH(D$13&amp;$A14,키워드지표!$A$2:$A$84,0))/INDEX(키워드지표!$D$2:$D$84,MATCH(D$13&amp;$A14,키워드지표!$A$2:$A$84,0))-1,"")</f>
        <v>-0.072</v>
      </c>
      <c r="E14" s="8">
        <f>IFERROR(INDEX(키워드지표!$F$2:$F$84,MATCH(E$13&amp;$A14,키워드지표!$A$2:$A$84,0))/INDEX(키워드지표!$D$2:$D$84,MATCH(E$13&amp;$A14,키워드지표!$A$2:$A$84,0))-1,"")</f>
        <v>-0.109</v>
      </c>
      <c r="F14" s="8">
        <f>IFERROR(INDEX(키워드지표!$F$2:$F$84,MATCH(F$13&amp;$A14,키워드지표!$A$2:$A$84,0))/INDEX(키워드지표!$D$2:$D$84,MATCH(F$13&amp;$A14,키워드지표!$A$2:$A$84,0))-1,"")</f>
        <v>-0.058</v>
      </c>
      <c r="G14" s="8">
        <f>IFERROR(INDEX(키워드지표!$F$2:$F$84,MATCH(G$13&amp;$A14,키워드지표!$A$2:$A$84,0))/INDEX(키워드지표!$D$2:$D$84,MATCH(G$13&amp;$A14,키워드지표!$A$2:$A$84,0))-1,"")</f>
        <v>0.192</v>
      </c>
      <c r="H14" s="8">
        <f>IFERROR(INDEX(키워드지표!$F$2:$F$84,MATCH(H$13&amp;$A14,키워드지표!$A$2:$A$84,0))/INDEX(키워드지표!$D$2:$D$84,MATCH(H$13&amp;$A14,키워드지표!$A$2:$A$84,0))-1,"")</f>
        <v>-0.227</v>
      </c>
    </row>
    <row r="15">
      <c r="A15" s="2" t="inlineStr">
        <is>
          <t>한의원</t>
        </is>
      </c>
      <c r="B15" s="8">
        <f>IFERROR(INDEX(키워드지표!$F$2:$F$84,MATCH(B$13&amp;$A15,키워드지표!$A$2:$A$84,0))/INDEX(키워드지표!$D$2:$D$84,MATCH(B$13&amp;$A15,키워드지표!$A$2:$A$84,0))-1,"")</f>
        <v>-0.113</v>
      </c>
      <c r="C15" s="8">
        <f>IFERROR(INDEX(키워드지표!$F$2:$F$84,MATCH(C$13&amp;$A15,키워드지표!$A$2:$A$84,0))/INDEX(키워드지표!$D$2:$D$84,MATCH(C$13&amp;$A15,키워드지표!$A$2:$A$84,0))-1,"")</f>
        <v>-0.361</v>
      </c>
      <c r="D15" s="8">
        <f>IFERROR(INDEX(키워드지표!$F$2:$F$84,MATCH(D$13&amp;$A15,키워드지표!$A$2:$A$84,0))/INDEX(키워드지표!$D$2:$D$84,MATCH(D$13&amp;$A15,키워드지표!$A$2:$A$84,0))-1,"")</f>
        <v>-0.351</v>
      </c>
      <c r="E15" s="8">
        <f>IFERROR(INDEX(키워드지표!$F$2:$F$84,MATCH(E$13&amp;$A15,키워드지표!$A$2:$A$84,0))/INDEX(키워드지표!$D$2:$D$84,MATCH(E$13&amp;$A15,키워드지표!$A$2:$A$84,0))-1,"")</f>
        <v>-0.529</v>
      </c>
      <c r="F15" s="8">
        <f>IFERROR(INDEX(키워드지표!$F$2:$F$84,MATCH(F$13&amp;$A15,키워드지표!$A$2:$A$84,0))/INDEX(키워드지표!$D$2:$D$84,MATCH(F$13&amp;$A15,키워드지표!$A$2:$A$84,0))-1,"")</f>
        <v>0.11</v>
      </c>
      <c r="G15" s="8">
        <f>IFERROR(INDEX(키워드지표!$F$2:$F$84,MATCH(G$13&amp;$A15,키워드지표!$A$2:$A$84,0))/INDEX(키워드지표!$D$2:$D$84,MATCH(G$13&amp;$A15,키워드지표!$A$2:$A$84,0))-1,"")</f>
        <v>0.38</v>
      </c>
      <c r="H15" s="8">
        <f>IFERROR(INDEX(키워드지표!$F$2:$F$84,MATCH(H$13&amp;$A15,키워드지표!$A$2:$A$84,0))/INDEX(키워드지표!$D$2:$D$84,MATCH(H$13&amp;$A15,키워드지표!$A$2:$A$84,0))-1,"")</f>
        <v>-0.024</v>
      </c>
    </row>
    <row r="16">
      <c r="A16" s="2" t="inlineStr">
        <is>
          <t>피부과</t>
        </is>
      </c>
      <c r="B16" s="8">
        <f>IFERROR(INDEX(키워드지표!$F$2:$F$84,MATCH(B$13&amp;$A16,키워드지표!$A$2:$A$84,0))/INDEX(키워드지표!$D$2:$D$84,MATCH(B$13&amp;$A16,키워드지표!$A$2:$A$84,0))-1,"")</f>
        <v>-0.182</v>
      </c>
      <c r="C16" s="8">
        <f>IFERROR(INDEX(키워드지표!$F$2:$F$84,MATCH(C$13&amp;$A16,키워드지표!$A$2:$A$84,0))/INDEX(키워드지표!$D$2:$D$84,MATCH(C$13&amp;$A16,키워드지표!$A$2:$A$84,0))-1,"")</f>
        <v>0.266</v>
      </c>
      <c r="D16" s="8">
        <f>IFERROR(INDEX(키워드지표!$F$2:$F$84,MATCH(D$13&amp;$A16,키워드지표!$A$2:$A$84,0))/INDEX(키워드지표!$D$2:$D$84,MATCH(D$13&amp;$A16,키워드지표!$A$2:$A$84,0))-1,"")</f>
        <v>0.126</v>
      </c>
      <c r="E16" s="8">
        <f>IFERROR(INDEX(키워드지표!$F$2:$F$84,MATCH(E$13&amp;$A16,키워드지표!$A$2:$A$84,0))/INDEX(키워드지표!$D$2:$D$84,MATCH(E$13&amp;$A16,키워드지표!$A$2:$A$84,0))-1,"")</f>
        <v>-0.179</v>
      </c>
      <c r="F16" s="8">
        <f>IFERROR(INDEX(키워드지표!$F$2:$F$84,MATCH(F$13&amp;$A16,키워드지표!$A$2:$A$84,0))/INDEX(키워드지표!$D$2:$D$84,MATCH(F$13&amp;$A16,키워드지표!$A$2:$A$84,0))-1,"")</f>
        <v>0.271</v>
      </c>
      <c r="G16" s="8">
        <f>IFERROR(INDEX(키워드지표!$F$2:$F$84,MATCH(G$13&amp;$A16,키워드지표!$A$2:$A$84,0))/INDEX(키워드지표!$D$2:$D$84,MATCH(G$13&amp;$A16,키워드지표!$A$2:$A$84,0))-1,"")</f>
        <v>0.296</v>
      </c>
      <c r="H16" s="8">
        <f>IFERROR(INDEX(키워드지표!$F$2:$F$84,MATCH(H$13&amp;$A16,키워드지표!$A$2:$A$84,0))/INDEX(키워드지표!$D$2:$D$84,MATCH(H$13&amp;$A16,키워드지표!$A$2:$A$84,0))-1,"")</f>
        <v>0.292</v>
      </c>
    </row>
    <row r="17">
      <c r="A17" s="2" t="inlineStr">
        <is>
          <t>정형외과</t>
        </is>
      </c>
      <c r="B17" s="8">
        <f>IFERROR(INDEX(키워드지표!$F$2:$F$84,MATCH(B$13&amp;$A17,키워드지표!$A$2:$A$84,0))/INDEX(키워드지표!$D$2:$D$84,MATCH(B$13&amp;$A17,키워드지표!$A$2:$A$84,0))-1,"")</f>
        <v>-0.116</v>
      </c>
      <c r="C17" s="8">
        <f>IFERROR(INDEX(키워드지표!$F$2:$F$84,MATCH(C$13&amp;$A17,키워드지표!$A$2:$A$84,0))/INDEX(키워드지표!$D$2:$D$84,MATCH(C$13&amp;$A17,키워드지표!$A$2:$A$84,0))-1,"")</f>
        <v>0.242</v>
      </c>
      <c r="D17" s="8">
        <f>IFERROR(INDEX(키워드지표!$F$2:$F$84,MATCH(D$13&amp;$A17,키워드지표!$A$2:$A$84,0))/INDEX(키워드지표!$D$2:$D$84,MATCH(D$13&amp;$A17,키워드지표!$A$2:$A$84,0))-1,"")</f>
        <v>0.316</v>
      </c>
      <c r="E17" s="8">
        <f>IFERROR(INDEX(키워드지표!$F$2:$F$84,MATCH(E$13&amp;$A17,키워드지표!$A$2:$A$84,0))/INDEX(키워드지표!$D$2:$D$84,MATCH(E$13&amp;$A17,키워드지표!$A$2:$A$84,0))-1,"")</f>
        <v>-0.188</v>
      </c>
      <c r="F17" s="8">
        <f>IFERROR(INDEX(키워드지표!$F$2:$F$84,MATCH(F$13&amp;$A17,키워드지표!$A$2:$A$84,0))/INDEX(키워드지표!$D$2:$D$84,MATCH(F$13&amp;$A17,키워드지표!$A$2:$A$84,0))-1,"")</f>
        <v>-0.023</v>
      </c>
      <c r="G17" s="8">
        <f>IFERROR(INDEX(키워드지표!$F$2:$F$84,MATCH(G$13&amp;$A17,키워드지표!$A$2:$A$84,0))/INDEX(키워드지표!$D$2:$D$84,MATCH(G$13&amp;$A17,키워드지표!$A$2:$A$84,0))-1,"")</f>
        <v>0.203</v>
      </c>
      <c r="H17" s="8">
        <f>IFERROR(INDEX(키워드지표!$F$2:$F$84,MATCH(H$13&amp;$A17,키워드지표!$A$2:$A$84,0))/INDEX(키워드지표!$D$2:$D$84,MATCH(H$13&amp;$A17,키워드지표!$A$2:$A$84,0))-1,"")</f>
        <v>0.161</v>
      </c>
    </row>
    <row r="18">
      <c r="A18" s="2" t="inlineStr">
        <is>
          <t>안과</t>
        </is>
      </c>
      <c r="B18" s="8">
        <f>IFERROR(INDEX(키워드지표!$F$2:$F$84,MATCH(B$13&amp;$A18,키워드지표!$A$2:$A$84,0))/INDEX(키워드지표!$D$2:$D$84,MATCH(B$13&amp;$A18,키워드지표!$A$2:$A$84,0))-1,"")</f>
        <v>-0.15</v>
      </c>
      <c r="C18" s="8">
        <f>IFERROR(INDEX(키워드지표!$F$2:$F$84,MATCH(C$13&amp;$A18,키워드지표!$A$2:$A$84,0))/INDEX(키워드지표!$D$2:$D$84,MATCH(C$13&amp;$A18,키워드지표!$A$2:$A$84,0))-1,"")</f>
        <v>0.423</v>
      </c>
      <c r="D18" s="8">
        <f>IFERROR(INDEX(키워드지표!$F$2:$F$84,MATCH(D$13&amp;$A18,키워드지표!$A$2:$A$84,0))/INDEX(키워드지표!$D$2:$D$84,MATCH(D$13&amp;$A18,키워드지표!$A$2:$A$84,0))-1,"")</f>
        <v>-0.049</v>
      </c>
      <c r="E18" s="8">
        <f>IFERROR(INDEX(키워드지표!$F$2:$F$84,MATCH(E$13&amp;$A18,키워드지표!$A$2:$A$84,0))/INDEX(키워드지표!$D$2:$D$84,MATCH(E$13&amp;$A18,키워드지표!$A$2:$A$84,0))-1,"")</f>
        <v>-0.089</v>
      </c>
      <c r="F18" s="8">
        <f>IFERROR(INDEX(키워드지표!$F$2:$F$84,MATCH(F$13&amp;$A18,키워드지표!$A$2:$A$84,0))/INDEX(키워드지표!$D$2:$D$84,MATCH(F$13&amp;$A18,키워드지표!$A$2:$A$84,0))-1,"")</f>
        <v>0.019</v>
      </c>
      <c r="G18" s="8">
        <f>IFERROR(INDEX(키워드지표!$F$2:$F$84,MATCH(G$13&amp;$A18,키워드지표!$A$2:$A$84,0))/INDEX(키워드지표!$D$2:$D$84,MATCH(G$13&amp;$A18,키워드지표!$A$2:$A$84,0))-1,"")</f>
        <v>-0.241</v>
      </c>
      <c r="H18" s="8">
        <f>IFERROR(INDEX(키워드지표!$F$2:$F$84,MATCH(H$13&amp;$A18,키워드지표!$A$2:$A$84,0))/INDEX(키워드지표!$D$2:$D$84,MATCH(H$13&amp;$A18,키워드지표!$A$2:$A$84,0))-1,"")</f>
        <v>0.061</v>
      </c>
    </row>
    <row r="19">
      <c r="A19" s="2" t="inlineStr">
        <is>
          <t>내과</t>
        </is>
      </c>
      <c r="B19" s="8">
        <f>IFERROR(INDEX(키워드지표!$F$2:$F$84,MATCH(B$13&amp;$A19,키워드지표!$A$2:$A$84,0))/INDEX(키워드지표!$D$2:$D$84,MATCH(B$13&amp;$A19,키워드지표!$A$2:$A$84,0))-1,"")</f>
        <v>-0.261</v>
      </c>
      <c r="C19" s="8">
        <f>IFERROR(INDEX(키워드지표!$F$2:$F$84,MATCH(C$13&amp;$A19,키워드지표!$A$2:$A$84,0))/INDEX(키워드지표!$D$2:$D$84,MATCH(C$13&amp;$A19,키워드지표!$A$2:$A$84,0))-1,"")</f>
        <v>-0.231</v>
      </c>
      <c r="D19" s="8">
        <f>IFERROR(INDEX(키워드지표!$F$2:$F$84,MATCH(D$13&amp;$A19,키워드지표!$A$2:$A$84,0))/INDEX(키워드지표!$D$2:$D$84,MATCH(D$13&amp;$A19,키워드지표!$A$2:$A$84,0))-1,"")</f>
        <v>-0.192</v>
      </c>
      <c r="E19" s="8">
        <f>IFERROR(INDEX(키워드지표!$F$2:$F$84,MATCH(E$13&amp;$A19,키워드지표!$A$2:$A$84,0))/INDEX(키워드지표!$D$2:$D$84,MATCH(E$13&amp;$A19,키워드지표!$A$2:$A$84,0))-1,"")</f>
        <v>-0.115</v>
      </c>
      <c r="F19" s="8">
        <f>IFERROR(INDEX(키워드지표!$F$2:$F$84,MATCH(F$13&amp;$A19,키워드지표!$A$2:$A$84,0))/INDEX(키워드지표!$D$2:$D$84,MATCH(F$13&amp;$A19,키워드지표!$A$2:$A$84,0))-1,"")</f>
        <v>-0.134</v>
      </c>
      <c r="G19" s="8">
        <f>IFERROR(INDEX(키워드지표!$F$2:$F$84,MATCH(G$13&amp;$A19,키워드지표!$A$2:$A$84,0))/INDEX(키워드지표!$D$2:$D$84,MATCH(G$13&amp;$A19,키워드지표!$A$2:$A$84,0))-1,"")</f>
        <v>-0.27</v>
      </c>
      <c r="H19" s="8">
        <f>IFERROR(INDEX(키워드지표!$F$2:$F$84,MATCH(H$13&amp;$A19,키워드지표!$A$2:$A$84,0))/INDEX(키워드지표!$D$2:$D$84,MATCH(H$13&amp;$A19,키워드지표!$A$2:$A$84,0))-1,"")</f>
        <v>-0.319</v>
      </c>
    </row>
    <row r="20">
      <c r="A20" s="2" t="inlineStr">
        <is>
          <t>성형외과</t>
        </is>
      </c>
      <c r="B20" s="8">
        <f>IFERROR(INDEX(키워드지표!$F$2:$F$84,MATCH(B$13&amp;$A20,키워드지표!$A$2:$A$84,0))/INDEX(키워드지표!$D$2:$D$84,MATCH(B$13&amp;$A20,키워드지표!$A$2:$A$84,0))-1,"")</f>
        <v>-0.228</v>
      </c>
      <c r="C20" s="8">
        <f>IFERROR(INDEX(키워드지표!$F$2:$F$84,MATCH(C$13&amp;$A20,키워드지표!$A$2:$A$84,0))/INDEX(키워드지표!$D$2:$D$84,MATCH(C$13&amp;$A20,키워드지표!$A$2:$A$84,0))-1,"")</f>
        <v>0.822</v>
      </c>
      <c r="D20" s="8">
        <f>IFERROR(INDEX(키워드지표!$F$2:$F$84,MATCH(D$13&amp;$A20,키워드지표!$A$2:$A$84,0))/INDEX(키워드지표!$D$2:$D$84,MATCH(D$13&amp;$A20,키워드지표!$A$2:$A$84,0))-1,"")</f>
        <v>0.373</v>
      </c>
      <c r="E20" s="8">
        <f>IFERROR(INDEX(키워드지표!$F$2:$F$84,MATCH(E$13&amp;$A20,키워드지표!$A$2:$A$84,0))/INDEX(키워드지표!$D$2:$D$84,MATCH(E$13&amp;$A20,키워드지표!$A$2:$A$84,0))-1,"")</f>
        <v>-0.322</v>
      </c>
      <c r="F20" s="8">
        <f>IFERROR(INDEX(키워드지표!$F$2:$F$84,MATCH(F$13&amp;$A20,키워드지표!$A$2:$A$84,0))/INDEX(키워드지표!$D$2:$D$84,MATCH(F$13&amp;$A20,키워드지표!$A$2:$A$84,0))-1,"")</f>
        <v>0.139</v>
      </c>
      <c r="G20" s="8">
        <f>IFERROR(INDEX(키워드지표!$F$2:$F$84,MATCH(G$13&amp;$A20,키워드지표!$A$2:$A$84,0))/INDEX(키워드지표!$D$2:$D$84,MATCH(G$13&amp;$A20,키워드지표!$A$2:$A$84,0))-1,"")</f>
        <v>0.392</v>
      </c>
      <c r="H20" s="8">
        <f>IFERROR(INDEX(키워드지표!$F$2:$F$84,MATCH(H$13&amp;$A20,키워드지표!$A$2:$A$84,0))/INDEX(키워드지표!$D$2:$D$84,MATCH(H$13&amp;$A20,키워드지표!$A$2:$A$84,0))-1,"")</f>
        <v>-0.282</v>
      </c>
    </row>
    <row r="21">
      <c r="A21" s="12" t="inlineStr">
        <is>
          <t>셀은 「지역명+진료과」 키워드를 그대로 조회한다(예: 대전 + 피부과 = 대전피부과).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  <col width="9" customWidth="1" min="15" max="15"/>
  </cols>
  <sheetData>
    <row r="1">
      <c r="A1" s="13" t="inlineStr">
        <is>
          <t>진료과 × 월 계절지수 — 7대 도시 평균, 각 진료과의 연평균 = 100</t>
        </is>
      </c>
    </row>
    <row r="3">
      <c r="A3" s="5" t="inlineStr">
        <is>
          <t>진료과</t>
        </is>
      </c>
      <c r="B3" s="5" t="inlineStr">
        <is>
          <t>1월</t>
        </is>
      </c>
      <c r="C3" s="5" t="inlineStr">
        <is>
          <t>2월</t>
        </is>
      </c>
      <c r="D3" s="5" t="inlineStr">
        <is>
          <t>3월</t>
        </is>
      </c>
      <c r="E3" s="5" t="inlineStr">
        <is>
          <t>4월</t>
        </is>
      </c>
      <c r="F3" s="5" t="inlineStr">
        <is>
          <t>5월</t>
        </is>
      </c>
      <c r="G3" s="5" t="inlineStr">
        <is>
          <t>6월</t>
        </is>
      </c>
      <c r="H3" s="5" t="inlineStr">
        <is>
          <t>7월</t>
        </is>
      </c>
      <c r="I3" s="5" t="inlineStr">
        <is>
          <t>8월</t>
        </is>
      </c>
      <c r="J3" s="5" t="inlineStr">
        <is>
          <t>9월</t>
        </is>
      </c>
      <c r="K3" s="5" t="inlineStr">
        <is>
          <t>10월</t>
        </is>
      </c>
      <c r="L3" s="5" t="inlineStr">
        <is>
          <t>11월</t>
        </is>
      </c>
      <c r="M3" s="5" t="inlineStr">
        <is>
          <t>12월</t>
        </is>
      </c>
      <c r="N3" s="5" t="inlineStr">
        <is>
          <t>피크월</t>
        </is>
      </c>
      <c r="O3" s="5" t="inlineStr">
        <is>
          <t>비수기</t>
        </is>
      </c>
    </row>
    <row r="4">
      <c r="A4" s="2" t="inlineStr">
        <is>
          <t>치과</t>
        </is>
      </c>
      <c r="B4" s="7">
        <f>AVERAGE(계절_월별!B2:B8)</f>
        <v>94.9</v>
      </c>
      <c r="C4" s="7">
        <f>AVERAGE(계절_월별!C2:C8)</f>
        <v>96.97</v>
      </c>
      <c r="D4" s="7">
        <f>AVERAGE(계절_월별!D2:D8)</f>
        <v>122.85</v>
      </c>
      <c r="E4" s="7">
        <f>AVERAGE(계절_월별!E2:E8)</f>
        <v>104.64</v>
      </c>
      <c r="F4" s="7">
        <f>AVERAGE(계절_월별!F2:F8)</f>
        <v>101.86</v>
      </c>
      <c r="G4" s="7">
        <f>AVERAGE(계절_월별!G2:G8)</f>
        <v>90.47</v>
      </c>
      <c r="H4" s="7">
        <f>AVERAGE(계절_월별!H2:H8)</f>
        <v>111.82</v>
      </c>
      <c r="I4" s="7">
        <f>AVERAGE(계절_월별!I2:I8)</f>
        <v>113.9</v>
      </c>
      <c r="J4" s="7">
        <f>AVERAGE(계절_월별!J2:J8)</f>
        <v>85.96</v>
      </c>
      <c r="K4" s="7">
        <f>AVERAGE(계절_월별!K2:K8)</f>
        <v>93.18</v>
      </c>
      <c r="L4" s="7">
        <f>AVERAGE(계절_월별!L2:L8)</f>
        <v>88.83</v>
      </c>
      <c r="M4" s="7">
        <f>AVERAGE(계절_월별!M2:M8)</f>
        <v>94.63</v>
      </c>
      <c r="N4" s="3" t="str">
        <f>INDEX($B$3:$M$3,MATCH(MAX(B4:M4),B4:M4,0))</f>
        <v>3월</v>
      </c>
      <c r="O4" s="3" t="str">
        <f>INDEX($B$3:$M$3,MATCH(MIN(B4:M4),B4:M4,0))</f>
        <v>9월</v>
      </c>
    </row>
    <row r="5">
      <c r="A5" s="2" t="inlineStr">
        <is>
          <t>한의원</t>
        </is>
      </c>
      <c r="B5" s="7">
        <f>AVERAGE(계절_월별!B9:B15)</f>
        <v>95.4</v>
      </c>
      <c r="C5" s="7">
        <f>AVERAGE(계절_월별!C9:C15)</f>
        <v>101.21</v>
      </c>
      <c r="D5" s="7">
        <f>AVERAGE(계절_월별!D9:D15)</f>
        <v>96.42</v>
      </c>
      <c r="E5" s="7">
        <f>AVERAGE(계절_월별!E9:E15)</f>
        <v>100.04</v>
      </c>
      <c r="F5" s="7">
        <f>AVERAGE(계절_월별!F9:F15)</f>
        <v>96.9</v>
      </c>
      <c r="G5" s="7">
        <f>AVERAGE(계절_월별!G9:G15)</f>
        <v>96.17</v>
      </c>
      <c r="H5" s="7">
        <f>AVERAGE(계절_월별!H9:H15)</f>
        <v>103.35</v>
      </c>
      <c r="I5" s="7">
        <f>AVERAGE(계절_월별!I9:I15)</f>
        <v>109.32</v>
      </c>
      <c r="J5" s="7">
        <f>AVERAGE(계절_월별!J9:J15)</f>
        <v>108.25</v>
      </c>
      <c r="K5" s="7">
        <f>AVERAGE(계절_월별!K9:K15)</f>
        <v>114.35</v>
      </c>
      <c r="L5" s="7">
        <f>AVERAGE(계절_월별!L9:L15)</f>
        <v>90.64</v>
      </c>
      <c r="M5" s="7">
        <f>AVERAGE(계절_월별!M9:M15)</f>
        <v>87.95</v>
      </c>
      <c r="N5" s="3" t="str">
        <f>INDEX($B$3:$M$3,MATCH(MAX(B5:M5),B5:M5,0))</f>
        <v>10월</v>
      </c>
      <c r="O5" s="3" t="str">
        <f>INDEX($B$3:$M$3,MATCH(MIN(B5:M5),B5:M5,0))</f>
        <v>12월</v>
      </c>
    </row>
    <row r="6">
      <c r="A6" s="2" t="inlineStr">
        <is>
          <t>피부과</t>
        </is>
      </c>
      <c r="B6" s="7">
        <f>AVERAGE(계절_월별!B16:B22)</f>
        <v>99.64</v>
      </c>
      <c r="C6" s="7">
        <f>AVERAGE(계절_월별!C16:C22)</f>
        <v>108.91</v>
      </c>
      <c r="D6" s="7">
        <f>AVERAGE(계절_월별!D16:D22)</f>
        <v>116.9</v>
      </c>
      <c r="E6" s="7">
        <f>AVERAGE(계절_월별!E16:E22)</f>
        <v>109.7</v>
      </c>
      <c r="F6" s="7">
        <f>AVERAGE(계절_월별!F16:F22)</f>
        <v>102.77</v>
      </c>
      <c r="G6" s="7">
        <f>AVERAGE(계절_월별!G16:G22)</f>
        <v>94.46</v>
      </c>
      <c r="H6" s="7">
        <f>AVERAGE(계절_월별!H16:H22)</f>
        <v>111.46</v>
      </c>
      <c r="I6" s="7">
        <f>AVERAGE(계절_월별!I16:I22)</f>
        <v>112.59</v>
      </c>
      <c r="J6" s="7">
        <f>AVERAGE(계절_월별!J16:J22)</f>
        <v>94.4</v>
      </c>
      <c r="K6" s="7">
        <f>AVERAGE(계절_월별!K16:K22)</f>
        <v>95.03</v>
      </c>
      <c r="L6" s="7">
        <f>AVERAGE(계절_월별!L16:L22)</f>
        <v>74.36</v>
      </c>
      <c r="M6" s="7">
        <f>AVERAGE(계절_월별!M16:M22)</f>
        <v>79.79</v>
      </c>
      <c r="N6" s="3" t="str">
        <f>INDEX($B$3:$M$3,MATCH(MAX(B6:M6),B6:M6,0))</f>
        <v>3월</v>
      </c>
      <c r="O6" s="3" t="str">
        <f>INDEX($B$3:$M$3,MATCH(MIN(B6:M6),B6:M6,0))</f>
        <v>11월</v>
      </c>
    </row>
    <row r="7">
      <c r="A7" s="2" t="inlineStr">
        <is>
          <t>정형외과</t>
        </is>
      </c>
      <c r="B7" s="7">
        <f>AVERAGE(계절_월별!B23:B29)</f>
        <v>94.03</v>
      </c>
      <c r="C7" s="7">
        <f>AVERAGE(계절_월별!C23:C29)</f>
        <v>90.82</v>
      </c>
      <c r="D7" s="7">
        <f>AVERAGE(계절_월별!D23:D29)</f>
        <v>112.79</v>
      </c>
      <c r="E7" s="7">
        <f>AVERAGE(계절_월별!E23:E29)</f>
        <v>101.64</v>
      </c>
      <c r="F7" s="7">
        <f>AVERAGE(계절_월별!F23:F29)</f>
        <v>107.85</v>
      </c>
      <c r="G7" s="7">
        <f>AVERAGE(계절_월별!G23:G29)</f>
        <v>105.84</v>
      </c>
      <c r="H7" s="7">
        <f>AVERAGE(계절_월별!H23:H29)</f>
        <v>99.11</v>
      </c>
      <c r="I7" s="7">
        <f>AVERAGE(계절_월별!I23:I29)</f>
        <v>101.47</v>
      </c>
      <c r="J7" s="7">
        <f>AVERAGE(계절_월별!J23:J29)</f>
        <v>106.03</v>
      </c>
      <c r="K7" s="7">
        <f>AVERAGE(계절_월별!K23:K29)</f>
        <v>101.68</v>
      </c>
      <c r="L7" s="7">
        <f>AVERAGE(계절_월별!L23:L29)</f>
        <v>84.46</v>
      </c>
      <c r="M7" s="7">
        <f>AVERAGE(계절_월별!M23:M29)</f>
        <v>94.29</v>
      </c>
      <c r="N7" s="3" t="str">
        <f>INDEX($B$3:$M$3,MATCH(MAX(B7:M7),B7:M7,0))</f>
        <v>3월</v>
      </c>
      <c r="O7" s="3" t="str">
        <f>INDEX($B$3:$M$3,MATCH(MIN(B7:M7),B7:M7,0))</f>
        <v>11월</v>
      </c>
    </row>
    <row r="8">
      <c r="A8" s="2" t="inlineStr">
        <is>
          <t>안과</t>
        </is>
      </c>
      <c r="B8" s="7">
        <f>AVERAGE(계절_월별!B30:B36)</f>
        <v>100.21</v>
      </c>
      <c r="C8" s="7">
        <f>AVERAGE(계절_월별!C30:C36)</f>
        <v>99.61</v>
      </c>
      <c r="D8" s="7">
        <f>AVERAGE(계절_월별!D30:D36)</f>
        <v>106.47</v>
      </c>
      <c r="E8" s="7">
        <f>AVERAGE(계절_월별!E30:E36)</f>
        <v>97.2</v>
      </c>
      <c r="F8" s="7">
        <f>AVERAGE(계절_월별!F30:F36)</f>
        <v>106.69</v>
      </c>
      <c r="G8" s="7">
        <f>AVERAGE(계절_월별!G30:G36)</f>
        <v>103.1</v>
      </c>
      <c r="H8" s="7">
        <f>AVERAGE(계절_월별!H30:H36)</f>
        <v>118.48</v>
      </c>
      <c r="I8" s="7">
        <f>AVERAGE(계절_월별!I30:I36)</f>
        <v>105.03</v>
      </c>
      <c r="J8" s="7">
        <f>AVERAGE(계절_월별!J30:J36)</f>
        <v>94.83</v>
      </c>
      <c r="K8" s="7">
        <f>AVERAGE(계절_월별!K30:K36)</f>
        <v>97.24</v>
      </c>
      <c r="L8" s="7">
        <f>AVERAGE(계절_월별!L30:L36)</f>
        <v>82.01</v>
      </c>
      <c r="M8" s="7">
        <f>AVERAGE(계절_월별!M30:M36)</f>
        <v>89.12</v>
      </c>
      <c r="N8" s="3" t="str">
        <f>INDEX($B$3:$M$3,MATCH(MAX(B8:M8),B8:M8,0))</f>
        <v>7월</v>
      </c>
      <c r="O8" s="3" t="str">
        <f>INDEX($B$3:$M$3,MATCH(MIN(B8:M8),B8:M8,0))</f>
        <v>11월</v>
      </c>
    </row>
    <row r="9">
      <c r="A9" s="2" t="inlineStr">
        <is>
          <t>내과</t>
        </is>
      </c>
      <c r="B9" s="7">
        <f>AVERAGE(계절_월별!B37:B43)</f>
        <v>120.05</v>
      </c>
      <c r="C9" s="7">
        <f>AVERAGE(계절_월별!C37:C43)</f>
        <v>103.56</v>
      </c>
      <c r="D9" s="7">
        <f>AVERAGE(계절_월별!D37:D43)</f>
        <v>93.62</v>
      </c>
      <c r="E9" s="7">
        <f>AVERAGE(계절_월별!E37:E43)</f>
        <v>86.92</v>
      </c>
      <c r="F9" s="7">
        <f>AVERAGE(계절_월별!F37:F43)</f>
        <v>98.46</v>
      </c>
      <c r="G9" s="7">
        <f>AVERAGE(계절_월별!G37:G43)</f>
        <v>83.83</v>
      </c>
      <c r="H9" s="7">
        <f>AVERAGE(계절_월별!H37:H43)</f>
        <v>84.77</v>
      </c>
      <c r="I9" s="7">
        <f>AVERAGE(계절_월별!I37:I43)</f>
        <v>95.49</v>
      </c>
      <c r="J9" s="7">
        <f>AVERAGE(계절_월별!J37:J43)</f>
        <v>101.87</v>
      </c>
      <c r="K9" s="7">
        <f>AVERAGE(계절_월별!K37:K43)</f>
        <v>115.52</v>
      </c>
      <c r="L9" s="7">
        <f>AVERAGE(계절_월별!L37:L43)</f>
        <v>97.83</v>
      </c>
      <c r="M9" s="7">
        <f>AVERAGE(계절_월별!M37:M43)</f>
        <v>118.08</v>
      </c>
      <c r="N9" s="3" t="str">
        <f>INDEX($B$3:$M$3,MATCH(MAX(B9:M9),B9:M9,0))</f>
        <v>1월</v>
      </c>
      <c r="O9" s="3" t="str">
        <f>INDEX($B$3:$M$3,MATCH(MIN(B9:M9),B9:M9,0))</f>
        <v>6월</v>
      </c>
    </row>
    <row r="10">
      <c r="A10" s="2" t="inlineStr">
        <is>
          <t>성형외과</t>
        </is>
      </c>
      <c r="B10" s="7">
        <f>AVERAGE(계절_월별!B44:B50)</f>
        <v>116.87</v>
      </c>
      <c r="C10" s="7">
        <f>AVERAGE(계절_월별!C44:C50)</f>
        <v>96.57</v>
      </c>
      <c r="D10" s="7">
        <f>AVERAGE(계절_월별!D44:D50)</f>
        <v>95.98</v>
      </c>
      <c r="E10" s="7">
        <f>AVERAGE(계절_월별!E44:E50)</f>
        <v>95.3</v>
      </c>
      <c r="F10" s="7">
        <f>AVERAGE(계절_월별!F44:F50)</f>
        <v>95.38</v>
      </c>
      <c r="G10" s="7">
        <f>AVERAGE(계절_월별!G44:G50)</f>
        <v>97.32</v>
      </c>
      <c r="H10" s="7">
        <f>AVERAGE(계절_월별!H44:H50)</f>
        <v>102.68</v>
      </c>
      <c r="I10" s="7">
        <f>AVERAGE(계절_월별!I44:I50)</f>
        <v>112.62</v>
      </c>
      <c r="J10" s="7">
        <f>AVERAGE(계절_월별!J44:J50)</f>
        <v>97.4</v>
      </c>
      <c r="K10" s="7">
        <f>AVERAGE(계절_월별!K44:K50)</f>
        <v>93.41</v>
      </c>
      <c r="L10" s="7">
        <f>AVERAGE(계절_월별!L44:L50)</f>
        <v>91.88</v>
      </c>
      <c r="M10" s="7">
        <f>AVERAGE(계절_월별!M44:M50)</f>
        <v>104.6</v>
      </c>
      <c r="N10" s="3" t="str">
        <f>INDEX($B$3:$M$3,MATCH(MAX(B10:M10),B10:M10,0))</f>
        <v>1월</v>
      </c>
      <c r="O10" s="3" t="str">
        <f>INDEX($B$3:$M$3,MATCH(MIN(B10:M10),B10:M10,0))</f>
        <v>11월</v>
      </c>
    </row>
    <row r="12">
      <c r="A12" s="12" t="inlineStr">
        <is>
          <t>100보다 크면 성수기. 각 도시의 계절지수를 먼저 구하고 7개 도시를 단순평균한 값이다(계절_월별 시트).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5" t="inlineStr">
        <is>
          <t>요청</t>
        </is>
      </c>
      <c r="B1" s="5" t="inlineStr">
        <is>
          <t>키워드</t>
        </is>
      </c>
      <c r="C1" s="5" t="inlineStr">
        <is>
          <t>앵커</t>
        </is>
      </c>
      <c r="D1" s="5" t="inlineStr">
        <is>
          <t>2023-09</t>
        </is>
      </c>
      <c r="E1" s="5" t="inlineStr">
        <is>
          <t>2023-10</t>
        </is>
      </c>
      <c r="F1" s="5" t="inlineStr">
        <is>
          <t>2023-11</t>
        </is>
      </c>
      <c r="G1" s="5" t="inlineStr">
        <is>
          <t>2023-12</t>
        </is>
      </c>
      <c r="H1" s="5" t="inlineStr">
        <is>
          <t>2024-01</t>
        </is>
      </c>
      <c r="I1" s="5" t="inlineStr">
        <is>
          <t>2024-02</t>
        </is>
      </c>
      <c r="J1" s="5" t="inlineStr">
        <is>
          <t>2024-03</t>
        </is>
      </c>
      <c r="K1" s="5" t="inlineStr">
        <is>
          <t>2024-04</t>
        </is>
      </c>
      <c r="L1" s="5" t="inlineStr">
        <is>
          <t>2024-05</t>
        </is>
      </c>
      <c r="M1" s="5" t="inlineStr">
        <is>
          <t>2024-06</t>
        </is>
      </c>
      <c r="N1" s="5" t="inlineStr">
        <is>
          <t>2024-07</t>
        </is>
      </c>
      <c r="O1" s="5" t="inlineStr">
        <is>
          <t>2024-08</t>
        </is>
      </c>
      <c r="P1" s="5" t="inlineStr">
        <is>
          <t>2024-09</t>
        </is>
      </c>
      <c r="Q1" s="5" t="inlineStr">
        <is>
          <t>2024-10</t>
        </is>
      </c>
      <c r="R1" s="5" t="inlineStr">
        <is>
          <t>2024-11</t>
        </is>
      </c>
      <c r="S1" s="5" t="inlineStr">
        <is>
          <t>2024-12</t>
        </is>
      </c>
      <c r="T1" s="5" t="inlineStr">
        <is>
          <t>2025-01</t>
        </is>
      </c>
      <c r="U1" s="5" t="inlineStr">
        <is>
          <t>2025-02</t>
        </is>
      </c>
      <c r="V1" s="5" t="inlineStr">
        <is>
          <t>2025-03</t>
        </is>
      </c>
      <c r="W1" s="5" t="inlineStr">
        <is>
          <t>2025-04</t>
        </is>
      </c>
      <c r="X1" s="5" t="inlineStr">
        <is>
          <t>2025-05</t>
        </is>
      </c>
      <c r="Y1" s="5" t="inlineStr">
        <is>
          <t>2025-06</t>
        </is>
      </c>
      <c r="Z1" s="5" t="inlineStr">
        <is>
          <t>2025-07</t>
        </is>
      </c>
      <c r="AA1" s="5" t="inlineStr">
        <is>
          <t>2025-08</t>
        </is>
      </c>
      <c r="AB1" s="5" t="inlineStr">
        <is>
          <t>2025-09</t>
        </is>
      </c>
      <c r="AC1" s="5" t="inlineStr">
        <is>
          <t>2025-10</t>
        </is>
      </c>
      <c r="AD1" s="5" t="inlineStr">
        <is>
          <t>2025-11</t>
        </is>
      </c>
      <c r="AE1" s="5" t="inlineStr">
        <is>
          <t>2025-12</t>
        </is>
      </c>
      <c r="AF1" s="5" t="inlineStr">
        <is>
          <t>2026-01</t>
        </is>
      </c>
      <c r="AG1" s="5" t="inlineStr">
        <is>
          <t>2026-02</t>
        </is>
      </c>
      <c r="AH1" s="5" t="inlineStr">
        <is>
          <t>2026-03</t>
        </is>
      </c>
      <c r="AI1" s="5" t="inlineStr">
        <is>
          <t>2026-04</t>
        </is>
      </c>
      <c r="AJ1" s="5" t="inlineStr">
        <is>
          <t>2026-05</t>
        </is>
      </c>
      <c r="AK1" s="5" t="inlineStr">
        <is>
          <t>2026-06</t>
        </is>
      </c>
      <c r="AL1" s="5" t="inlineStr">
        <is>
          <t>2026-07</t>
        </is>
      </c>
      <c r="AM1" s="5" t="inlineStr">
        <is>
          <t>2026-08</t>
        </is>
      </c>
    </row>
    <row r="2">
      <c r="A2" s="3" t="inlineStr">
        <is>
          <t>R0</t>
        </is>
      </c>
      <c r="B2" s="3" t="inlineStr">
        <is>
          <t>서울피부과</t>
        </is>
      </c>
      <c r="C2" s="18" t="inlineStr">
        <is>
          <t>앵커</t>
        </is>
      </c>
      <c r="D2" s="19" t="n">
        <v>35.29348</v>
      </c>
      <c r="E2" s="19" t="n">
        <v>37.29908</v>
      </c>
      <c r="F2" s="19" t="n">
        <v>31.12442</v>
      </c>
      <c r="G2" s="19" t="n">
        <v>31.52267</v>
      </c>
      <c r="H2" s="19" t="n">
        <v>37.26679</v>
      </c>
      <c r="I2" s="19" t="n">
        <v>37.13404</v>
      </c>
      <c r="J2" s="19" t="n">
        <v>36.78243</v>
      </c>
      <c r="K2" s="19" t="n">
        <v>36.00387</v>
      </c>
      <c r="L2" s="19" t="n">
        <v>37.83008</v>
      </c>
      <c r="M2" s="19" t="n">
        <v>34.82706</v>
      </c>
      <c r="N2" s="19" t="n">
        <v>40.79721</v>
      </c>
      <c r="O2" s="19" t="n">
        <v>40.87256</v>
      </c>
      <c r="P2" s="19" t="n">
        <v>36.41647</v>
      </c>
      <c r="Q2" s="19" t="n">
        <v>34.29247</v>
      </c>
      <c r="R2" s="19" t="n">
        <v>30.75487</v>
      </c>
      <c r="S2" s="19" t="n">
        <v>31.24641</v>
      </c>
      <c r="T2" s="19" t="n">
        <v>38.0597</v>
      </c>
      <c r="U2" s="19" t="n">
        <v>34.40729</v>
      </c>
      <c r="V2" s="19" t="n">
        <v>34.3427</v>
      </c>
      <c r="W2" s="19" t="n">
        <v>32.83223</v>
      </c>
      <c r="X2" s="19" t="n">
        <v>35.18584</v>
      </c>
      <c r="Y2" s="19" t="n">
        <v>34.0198</v>
      </c>
      <c r="Z2" s="19" t="n">
        <v>37.06587</v>
      </c>
      <c r="AA2" s="19" t="n">
        <v>37.22014</v>
      </c>
      <c r="AB2" s="19" t="n">
        <v>31.6626</v>
      </c>
      <c r="AC2" s="19" t="n">
        <v>34.7266</v>
      </c>
      <c r="AD2" s="19" t="n">
        <v>26.04405</v>
      </c>
      <c r="AE2" s="19" t="n">
        <v>28.57347</v>
      </c>
      <c r="AF2" s="19" t="n">
        <v>30.85533</v>
      </c>
      <c r="AG2" s="19" t="n">
        <v>29.04707</v>
      </c>
      <c r="AH2" s="19" t="n">
        <v>28.42278</v>
      </c>
      <c r="AI2" s="19" t="n">
        <v>28.30797</v>
      </c>
      <c r="AJ2" s="19" t="n">
        <v>29.27669</v>
      </c>
      <c r="AK2" s="19" t="n">
        <v>28.49813</v>
      </c>
      <c r="AL2" s="19" t="n">
        <v>30.83022</v>
      </c>
      <c r="AM2" s="19" t="n">
        <v>30.81587</v>
      </c>
    </row>
    <row r="3">
      <c r="A3" s="3" t="inlineStr">
        <is>
          <t>R0</t>
        </is>
      </c>
      <c r="B3" s="3" t="inlineStr">
        <is>
          <t>대구피부과</t>
        </is>
      </c>
      <c r="C3" s="18" t="inlineStr"/>
      <c r="D3" s="19" t="n">
        <v>44.52855</v>
      </c>
      <c r="E3" s="19" t="n">
        <v>47.45622</v>
      </c>
      <c r="F3" s="19" t="n">
        <v>38.98894</v>
      </c>
      <c r="G3" s="19" t="n">
        <v>44.37069</v>
      </c>
      <c r="H3" s="19" t="n">
        <v>56.12442</v>
      </c>
      <c r="I3" s="19" t="n">
        <v>51.68986</v>
      </c>
      <c r="J3" s="19" t="n">
        <v>49.41159</v>
      </c>
      <c r="K3" s="19" t="n">
        <v>48.51822</v>
      </c>
      <c r="L3" s="19" t="n">
        <v>49.98564</v>
      </c>
      <c r="M3" s="19" t="n">
        <v>45.52956</v>
      </c>
      <c r="N3" s="19" t="n">
        <v>56.60519</v>
      </c>
      <c r="O3" s="19" t="n">
        <v>55.50731</v>
      </c>
      <c r="P3" s="19" t="n">
        <v>51.26291</v>
      </c>
      <c r="Q3" s="19" t="n">
        <v>50.58122</v>
      </c>
      <c r="R3" s="19" t="n">
        <v>48.42853</v>
      </c>
      <c r="S3" s="19" t="n">
        <v>48.03745</v>
      </c>
      <c r="T3" s="19" t="n">
        <v>57.41604</v>
      </c>
      <c r="U3" s="19" t="n">
        <v>55.73335</v>
      </c>
      <c r="V3" s="19" t="n">
        <v>68.58137000000001</v>
      </c>
      <c r="W3" s="19" t="n">
        <v>100</v>
      </c>
      <c r="X3" s="19" t="n">
        <v>58.20536</v>
      </c>
      <c r="Y3" s="19" t="n">
        <v>57.56314</v>
      </c>
      <c r="Z3" s="19" t="n">
        <v>50.62787</v>
      </c>
      <c r="AA3" s="19" t="n">
        <v>49.60175</v>
      </c>
      <c r="AB3" s="19" t="n">
        <v>59.59385</v>
      </c>
      <c r="AC3" s="19" t="n">
        <v>63.28573</v>
      </c>
      <c r="AD3" s="19" t="n">
        <v>46.66331</v>
      </c>
      <c r="AE3" s="19" t="n">
        <v>48.50746</v>
      </c>
      <c r="AF3" s="19" t="n">
        <v>51.7078</v>
      </c>
      <c r="AG3" s="19" t="n">
        <v>57.34787</v>
      </c>
      <c r="AH3" s="19" t="n">
        <v>69.50703</v>
      </c>
      <c r="AI3" s="19" t="n">
        <v>52.27109</v>
      </c>
      <c r="AJ3" s="19" t="n">
        <v>49.92465</v>
      </c>
      <c r="AK3" s="19" t="n">
        <v>45.09543</v>
      </c>
      <c r="AL3" s="19" t="n">
        <v>59.4037</v>
      </c>
      <c r="AM3" s="19" t="n">
        <v>59.82347</v>
      </c>
    </row>
    <row r="4">
      <c r="A4" s="3" t="inlineStr">
        <is>
          <t>R0</t>
        </is>
      </c>
      <c r="B4" s="3" t="inlineStr">
        <is>
          <t>부산치과</t>
        </is>
      </c>
      <c r="C4" s="18" t="inlineStr"/>
      <c r="D4" s="19" t="n">
        <v>15.32003</v>
      </c>
      <c r="E4" s="19" t="n">
        <v>15.28774</v>
      </c>
      <c r="F4" s="19" t="n">
        <v>24.2609</v>
      </c>
      <c r="G4" s="19" t="n">
        <v>35.22172</v>
      </c>
      <c r="H4" s="19" t="n">
        <v>43.59931</v>
      </c>
      <c r="I4" s="19" t="n">
        <v>33.90858</v>
      </c>
      <c r="J4" s="19" t="n">
        <v>37.81931</v>
      </c>
      <c r="K4" s="19" t="n">
        <v>66.43943</v>
      </c>
      <c r="L4" s="19" t="n">
        <v>42.73464</v>
      </c>
      <c r="M4" s="19" t="n">
        <v>25.63504</v>
      </c>
      <c r="N4" s="19" t="n">
        <v>31.70206</v>
      </c>
      <c r="O4" s="19" t="n">
        <v>29.07577</v>
      </c>
      <c r="P4" s="19" t="n">
        <v>22.99081</v>
      </c>
      <c r="Q4" s="19" t="n">
        <v>17.28257</v>
      </c>
      <c r="R4" s="19" t="n">
        <v>19.29176</v>
      </c>
      <c r="S4" s="19" t="n">
        <v>28.125</v>
      </c>
      <c r="T4" s="19" t="n">
        <v>20.24253</v>
      </c>
      <c r="U4" s="19" t="n">
        <v>25.44489</v>
      </c>
      <c r="V4" s="19" t="n">
        <v>51.99124</v>
      </c>
      <c r="W4" s="19" t="n">
        <v>35.43699</v>
      </c>
      <c r="X4" s="19" t="n">
        <v>26.4423</v>
      </c>
      <c r="Y4" s="19" t="n">
        <v>20.32505</v>
      </c>
      <c r="Z4" s="19" t="n">
        <v>77.95995000000001</v>
      </c>
      <c r="AA4" s="19" t="n">
        <v>45.36093</v>
      </c>
      <c r="AB4" s="19" t="n">
        <v>32.50215</v>
      </c>
      <c r="AC4" s="19" t="n">
        <v>21.5198</v>
      </c>
      <c r="AD4" s="19" t="n">
        <v>15.40973</v>
      </c>
      <c r="AE4" s="19" t="n">
        <v>19.7797</v>
      </c>
      <c r="AF4" s="19" t="n">
        <v>23.15226</v>
      </c>
      <c r="AG4" s="19" t="n">
        <v>22.54233</v>
      </c>
      <c r="AH4" s="19" t="n">
        <v>47.17996</v>
      </c>
      <c r="AI4" s="19" t="n">
        <v>18.2477</v>
      </c>
      <c r="AJ4" s="19" t="n">
        <v>17.61624</v>
      </c>
      <c r="AK4" s="19" t="n">
        <v>22.04004</v>
      </c>
      <c r="AL4" s="19" t="n">
        <v>44.62901</v>
      </c>
      <c r="AM4" s="19" t="n">
        <v>38.00947</v>
      </c>
    </row>
    <row r="5">
      <c r="A5" s="3" t="inlineStr">
        <is>
          <t>R1</t>
        </is>
      </c>
      <c r="B5" s="3" t="inlineStr">
        <is>
          <t>서울피부과</t>
        </is>
      </c>
      <c r="C5" s="18" t="inlineStr">
        <is>
          <t>앵커</t>
        </is>
      </c>
      <c r="D5" s="19" t="n">
        <v>36.52532</v>
      </c>
      <c r="E5" s="19" t="n">
        <v>38.60092</v>
      </c>
      <c r="F5" s="19" t="n">
        <v>32.21075</v>
      </c>
      <c r="G5" s="19" t="n">
        <v>32.6229</v>
      </c>
      <c r="H5" s="19" t="n">
        <v>38.5675</v>
      </c>
      <c r="I5" s="19" t="n">
        <v>38.43012</v>
      </c>
      <c r="J5" s="19" t="n">
        <v>38.06624</v>
      </c>
      <c r="K5" s="19" t="n">
        <v>37.2605</v>
      </c>
      <c r="L5" s="19" t="n">
        <v>39.15045</v>
      </c>
      <c r="M5" s="19" t="n">
        <v>36.04262</v>
      </c>
      <c r="N5" s="19" t="n">
        <v>42.22114</v>
      </c>
      <c r="O5" s="19" t="n">
        <v>42.29912</v>
      </c>
      <c r="P5" s="19" t="n">
        <v>37.6875</v>
      </c>
      <c r="Q5" s="19" t="n">
        <v>35.48938</v>
      </c>
      <c r="R5" s="19" t="n">
        <v>31.8283</v>
      </c>
      <c r="S5" s="19" t="n">
        <v>32.33699</v>
      </c>
      <c r="T5" s="19" t="n">
        <v>39.38808</v>
      </c>
      <c r="U5" s="19" t="n">
        <v>35.60819</v>
      </c>
      <c r="V5" s="19" t="n">
        <v>35.54136</v>
      </c>
      <c r="W5" s="19" t="n">
        <v>33.97816</v>
      </c>
      <c r="X5" s="19" t="n">
        <v>36.41393</v>
      </c>
      <c r="Y5" s="19" t="n">
        <v>35.20718</v>
      </c>
      <c r="Z5" s="19" t="n">
        <v>38.35957</v>
      </c>
      <c r="AA5" s="19" t="n">
        <v>38.51923</v>
      </c>
      <c r="AB5" s="19" t="n">
        <v>32.76771</v>
      </c>
      <c r="AC5" s="19" t="n">
        <v>35.93866</v>
      </c>
      <c r="AD5" s="19" t="n">
        <v>26.95306</v>
      </c>
      <c r="AE5" s="19" t="n">
        <v>29.57077</v>
      </c>
      <c r="AF5" s="19" t="n">
        <v>31.93227</v>
      </c>
      <c r="AG5" s="19" t="n">
        <v>30.06089</v>
      </c>
      <c r="AH5" s="19" t="n">
        <v>29.41482</v>
      </c>
      <c r="AI5" s="19" t="n">
        <v>29.296</v>
      </c>
      <c r="AJ5" s="19" t="n">
        <v>30.29852</v>
      </c>
      <c r="AK5" s="19" t="n">
        <v>29.49279</v>
      </c>
      <c r="AL5" s="19" t="n">
        <v>31.90628</v>
      </c>
      <c r="AM5" s="19" t="n">
        <v>31.89143</v>
      </c>
    </row>
    <row r="6">
      <c r="A6" s="3" t="inlineStr">
        <is>
          <t>R1</t>
        </is>
      </c>
      <c r="B6" s="3" t="inlineStr">
        <is>
          <t>서울치과</t>
        </is>
      </c>
      <c r="C6" s="18" t="inlineStr"/>
      <c r="D6" s="19" t="n">
        <v>29.64131</v>
      </c>
      <c r="E6" s="19" t="n">
        <v>33.22441</v>
      </c>
      <c r="F6" s="19" t="n">
        <v>31.0597</v>
      </c>
      <c r="G6" s="19" t="n">
        <v>33.23184</v>
      </c>
      <c r="H6" s="19" t="n">
        <v>36.42878</v>
      </c>
      <c r="I6" s="19" t="n">
        <v>33.77766</v>
      </c>
      <c r="J6" s="19" t="n">
        <v>32.18104</v>
      </c>
      <c r="K6" s="19" t="n">
        <v>31.97683</v>
      </c>
      <c r="L6" s="19" t="n">
        <v>34.83959</v>
      </c>
      <c r="M6" s="19" t="n">
        <v>30.36907</v>
      </c>
      <c r="N6" s="19" t="n">
        <v>33.76652</v>
      </c>
      <c r="O6" s="19" t="n">
        <v>33.92247</v>
      </c>
      <c r="P6" s="19" t="n">
        <v>28.31204</v>
      </c>
      <c r="Q6" s="19" t="n">
        <v>28.49769</v>
      </c>
      <c r="R6" s="19" t="n">
        <v>30.95202</v>
      </c>
      <c r="S6" s="19" t="n">
        <v>31.92113</v>
      </c>
      <c r="T6" s="19" t="n">
        <v>32.60062</v>
      </c>
      <c r="U6" s="19" t="n">
        <v>32.60433</v>
      </c>
      <c r="V6" s="19" t="n">
        <v>32.74171</v>
      </c>
      <c r="W6" s="19" t="n">
        <v>28.3566</v>
      </c>
      <c r="X6" s="19" t="n">
        <v>29.1809</v>
      </c>
      <c r="Y6" s="19" t="n">
        <v>27.16099</v>
      </c>
      <c r="Z6" s="19" t="n">
        <v>30.03861</v>
      </c>
      <c r="AA6" s="19" t="n">
        <v>28.65735</v>
      </c>
      <c r="AB6" s="19" t="n">
        <v>25.59408</v>
      </c>
      <c r="AC6" s="19" t="n">
        <v>26.60775</v>
      </c>
      <c r="AD6" s="19" t="n">
        <v>24.11629</v>
      </c>
      <c r="AE6" s="19" t="n">
        <v>30.53616</v>
      </c>
      <c r="AF6" s="19" t="n">
        <v>31.46071</v>
      </c>
      <c r="AG6" s="19" t="n">
        <v>27.38378</v>
      </c>
      <c r="AH6" s="19" t="n">
        <v>28.16723</v>
      </c>
      <c r="AI6" s="19" t="n">
        <v>25.24506</v>
      </c>
      <c r="AJ6" s="19" t="n">
        <v>27.86647</v>
      </c>
      <c r="AK6" s="19" t="n">
        <v>26.61146</v>
      </c>
      <c r="AL6" s="19" t="n">
        <v>28.64622</v>
      </c>
      <c r="AM6" s="19" t="n">
        <v>30.25025</v>
      </c>
    </row>
    <row r="7">
      <c r="A7" s="3" t="inlineStr">
        <is>
          <t>R1</t>
        </is>
      </c>
      <c r="B7" s="3" t="inlineStr">
        <is>
          <t>서울성형외과</t>
        </is>
      </c>
      <c r="C7" s="18" t="inlineStr"/>
      <c r="D7" s="19" t="n">
        <v>11.2654</v>
      </c>
      <c r="E7" s="19" t="n">
        <v>12.30877</v>
      </c>
      <c r="F7" s="19" t="n">
        <v>12.43873</v>
      </c>
      <c r="G7" s="19" t="n">
        <v>14.17273</v>
      </c>
      <c r="H7" s="19" t="n">
        <v>16.31145</v>
      </c>
      <c r="I7" s="19" t="n">
        <v>11.76295</v>
      </c>
      <c r="J7" s="19" t="n">
        <v>12.3162</v>
      </c>
      <c r="K7" s="19" t="n">
        <v>12.22709</v>
      </c>
      <c r="L7" s="19" t="n">
        <v>10.32229</v>
      </c>
      <c r="M7" s="19" t="n">
        <v>10.30001</v>
      </c>
      <c r="N7" s="19" t="n">
        <v>11.00549</v>
      </c>
      <c r="O7" s="19" t="n">
        <v>11.33224</v>
      </c>
      <c r="P7" s="19" t="n">
        <v>10.54878</v>
      </c>
      <c r="Q7" s="19" t="n">
        <v>10.5525</v>
      </c>
      <c r="R7" s="19" t="n">
        <v>12.39046</v>
      </c>
      <c r="S7" s="19" t="n">
        <v>14.37694</v>
      </c>
      <c r="T7" s="19" t="n">
        <v>15.89187</v>
      </c>
      <c r="U7" s="19" t="n">
        <v>12.63181</v>
      </c>
      <c r="V7" s="19" t="n">
        <v>11.03148</v>
      </c>
      <c r="W7" s="19" t="n">
        <v>10.10322</v>
      </c>
      <c r="X7" s="19" t="n">
        <v>9.57225</v>
      </c>
      <c r="Y7" s="19" t="n">
        <v>9.368029999999999</v>
      </c>
      <c r="Z7" s="19" t="n">
        <v>10.44853</v>
      </c>
      <c r="AA7" s="19" t="n">
        <v>10.30744</v>
      </c>
      <c r="AB7" s="19" t="n">
        <v>9.62795</v>
      </c>
      <c r="AC7" s="19" t="n">
        <v>10.4114</v>
      </c>
      <c r="AD7" s="19" t="n">
        <v>10.83098</v>
      </c>
      <c r="AE7" s="19" t="n">
        <v>11.95232</v>
      </c>
      <c r="AF7" s="19" t="n">
        <v>13.56007</v>
      </c>
      <c r="AG7" s="19" t="n">
        <v>9.564819999999999</v>
      </c>
      <c r="AH7" s="19" t="n">
        <v>9.089549999999999</v>
      </c>
      <c r="AI7" s="19" t="n">
        <v>8.28382</v>
      </c>
      <c r="AJ7" s="19" t="n">
        <v>7.66003</v>
      </c>
      <c r="AK7" s="19" t="n">
        <v>6.90999</v>
      </c>
      <c r="AL7" s="19" t="n">
        <v>7.40011</v>
      </c>
      <c r="AM7" s="19" t="n">
        <v>7.23674</v>
      </c>
    </row>
    <row r="8">
      <c r="A8" s="3" t="inlineStr">
        <is>
          <t>R1</t>
        </is>
      </c>
      <c r="B8" s="3" t="inlineStr">
        <is>
          <t>서울안과</t>
        </is>
      </c>
      <c r="C8" s="18" t="inlineStr"/>
      <c r="D8" s="19" t="n">
        <v>74.90716999999999</v>
      </c>
      <c r="E8" s="19" t="n">
        <v>77.91473999999999</v>
      </c>
      <c r="F8" s="19" t="n">
        <v>65.47601</v>
      </c>
      <c r="G8" s="19" t="n">
        <v>68.98484999999999</v>
      </c>
      <c r="H8" s="19" t="n">
        <v>76.14733</v>
      </c>
      <c r="I8" s="19" t="n">
        <v>79.51136</v>
      </c>
      <c r="J8" s="19" t="n">
        <v>78.50512000000001</v>
      </c>
      <c r="K8" s="19" t="n">
        <v>86.49933</v>
      </c>
      <c r="L8" s="19" t="n">
        <v>87.65037</v>
      </c>
      <c r="M8" s="19" t="n">
        <v>79.78984</v>
      </c>
      <c r="N8" s="19" t="n">
        <v>89.15416</v>
      </c>
      <c r="O8" s="19" t="n">
        <v>100</v>
      </c>
      <c r="P8" s="19" t="n">
        <v>80.81464</v>
      </c>
      <c r="Q8" s="19" t="n">
        <v>71.58398</v>
      </c>
      <c r="R8" s="19" t="n">
        <v>64.28412</v>
      </c>
      <c r="S8" s="19" t="n">
        <v>66.52679999999999</v>
      </c>
      <c r="T8" s="19" t="n">
        <v>72.76102</v>
      </c>
      <c r="U8" s="19" t="n">
        <v>75.53095999999999</v>
      </c>
      <c r="V8" s="19" t="n">
        <v>74.90716999999999</v>
      </c>
      <c r="W8" s="19" t="n">
        <v>76.86766</v>
      </c>
      <c r="X8" s="19" t="n">
        <v>80.54358999999999</v>
      </c>
      <c r="Y8" s="19" t="n">
        <v>72.71647</v>
      </c>
      <c r="Z8" s="19" t="n">
        <v>80.65497999999999</v>
      </c>
      <c r="AA8" s="19" t="n">
        <v>83.45462000000001</v>
      </c>
      <c r="AB8" s="19" t="n">
        <v>69.50096000000001</v>
      </c>
      <c r="AC8" s="19" t="n">
        <v>70.44036</v>
      </c>
      <c r="AD8" s="19" t="n">
        <v>56.68349</v>
      </c>
      <c r="AE8" s="19" t="n">
        <v>62.57611</v>
      </c>
      <c r="AF8" s="19" t="n">
        <v>69.73860000000001</v>
      </c>
      <c r="AG8" s="19" t="n">
        <v>66.7236</v>
      </c>
      <c r="AH8" s="19" t="n">
        <v>64.88563000000001</v>
      </c>
      <c r="AI8" s="19" t="n">
        <v>71.2758</v>
      </c>
      <c r="AJ8" s="19" t="n">
        <v>69.10738000000001</v>
      </c>
      <c r="AK8" s="19" t="n">
        <v>67.12832</v>
      </c>
      <c r="AL8" s="19" t="n">
        <v>73.53704999999999</v>
      </c>
      <c r="AM8" s="19" t="n">
        <v>78.62022</v>
      </c>
    </row>
    <row r="9">
      <c r="A9" s="3" t="inlineStr">
        <is>
          <t>R1</t>
        </is>
      </c>
      <c r="B9" s="3" t="inlineStr">
        <is>
          <t>서울정형외과</t>
        </is>
      </c>
      <c r="C9" s="18" t="inlineStr"/>
      <c r="D9" s="19" t="n">
        <v>62.36818</v>
      </c>
      <c r="E9" s="19" t="n">
        <v>69.27818000000001</v>
      </c>
      <c r="F9" s="19" t="n">
        <v>59.25293</v>
      </c>
      <c r="G9" s="19" t="n">
        <v>64.09847000000001</v>
      </c>
      <c r="H9" s="19" t="n">
        <v>62.31249</v>
      </c>
      <c r="I9" s="19" t="n">
        <v>55.92603</v>
      </c>
      <c r="J9" s="19" t="n">
        <v>61.59215</v>
      </c>
      <c r="K9" s="19" t="n">
        <v>63.19991</v>
      </c>
      <c r="L9" s="19" t="n">
        <v>73.78583</v>
      </c>
      <c r="M9" s="19" t="n">
        <v>67.7484</v>
      </c>
      <c r="N9" s="19" t="n">
        <v>68.59126000000001</v>
      </c>
      <c r="O9" s="19" t="n">
        <v>68.30535999999999</v>
      </c>
      <c r="P9" s="19" t="n">
        <v>65.81018</v>
      </c>
      <c r="Q9" s="19" t="n">
        <v>67.74097</v>
      </c>
      <c r="R9" s="19" t="n">
        <v>60.41511</v>
      </c>
      <c r="S9" s="19" t="n">
        <v>57.51522</v>
      </c>
      <c r="T9" s="19" t="n">
        <v>60.5525</v>
      </c>
      <c r="U9" s="19" t="n">
        <v>54.87524</v>
      </c>
      <c r="V9" s="19" t="n">
        <v>60.60077</v>
      </c>
      <c r="W9" s="19" t="n">
        <v>57.70087</v>
      </c>
      <c r="X9" s="19" t="n">
        <v>67.53675</v>
      </c>
      <c r="Y9" s="19" t="n">
        <v>66.4117</v>
      </c>
      <c r="Z9" s="19" t="n">
        <v>63.88311</v>
      </c>
      <c r="AA9" s="19" t="n">
        <v>67.22114000000001</v>
      </c>
      <c r="AB9" s="19" t="n">
        <v>61.72954</v>
      </c>
      <c r="AC9" s="19" t="n">
        <v>65.40546000000001</v>
      </c>
      <c r="AD9" s="19" t="n">
        <v>52.48774</v>
      </c>
      <c r="AE9" s="19" t="n">
        <v>57.73058</v>
      </c>
      <c r="AF9" s="19" t="n">
        <v>52.72538</v>
      </c>
      <c r="AG9" s="19" t="n">
        <v>48.87123</v>
      </c>
      <c r="AH9" s="19" t="n">
        <v>54.68216</v>
      </c>
      <c r="AI9" s="19" t="n">
        <v>54.09178</v>
      </c>
      <c r="AJ9" s="19" t="n">
        <v>61.69241</v>
      </c>
      <c r="AK9" s="19" t="n">
        <v>59.46086</v>
      </c>
      <c r="AL9" s="19" t="n">
        <v>59.06356</v>
      </c>
      <c r="AM9" s="19" t="n">
        <v>58.71082</v>
      </c>
    </row>
    <row r="10">
      <c r="A10" s="3" t="inlineStr">
        <is>
          <t>R2</t>
        </is>
      </c>
      <c r="B10" s="3" t="inlineStr">
        <is>
          <t>서울피부과</t>
        </is>
      </c>
      <c r="C10" s="18" t="inlineStr">
        <is>
          <t>앵커</t>
        </is>
      </c>
      <c r="D10" s="19" t="n">
        <v>31.00806</v>
      </c>
      <c r="E10" s="19" t="n">
        <v>32.77014</v>
      </c>
      <c r="F10" s="19" t="n">
        <v>27.34522</v>
      </c>
      <c r="G10" s="19" t="n">
        <v>27.69512</v>
      </c>
      <c r="H10" s="19" t="n">
        <v>32.74177</v>
      </c>
      <c r="I10" s="19" t="n">
        <v>32.62514</v>
      </c>
      <c r="J10" s="19" t="n">
        <v>32.31622</v>
      </c>
      <c r="K10" s="19" t="n">
        <v>31.6322</v>
      </c>
      <c r="L10" s="19" t="n">
        <v>33.23666</v>
      </c>
      <c r="M10" s="19" t="n">
        <v>30.59828</v>
      </c>
      <c r="N10" s="19" t="n">
        <v>35.84352</v>
      </c>
      <c r="O10" s="19" t="n">
        <v>35.90972</v>
      </c>
      <c r="P10" s="19" t="n">
        <v>31.9947</v>
      </c>
      <c r="Q10" s="19" t="n">
        <v>30.1286</v>
      </c>
      <c r="R10" s="19" t="n">
        <v>27.02055</v>
      </c>
      <c r="S10" s="19" t="n">
        <v>27.4524</v>
      </c>
      <c r="T10" s="19" t="n">
        <v>33.4384</v>
      </c>
      <c r="U10" s="19" t="n">
        <v>30.22947</v>
      </c>
      <c r="V10" s="19" t="n">
        <v>30.17273</v>
      </c>
      <c r="W10" s="19" t="n">
        <v>28.84566</v>
      </c>
      <c r="X10" s="19" t="n">
        <v>30.9135</v>
      </c>
      <c r="Y10" s="19" t="n">
        <v>29.88904</v>
      </c>
      <c r="Z10" s="19" t="n">
        <v>32.56525</v>
      </c>
      <c r="AA10" s="19" t="n">
        <v>32.70079</v>
      </c>
      <c r="AB10" s="19" t="n">
        <v>27.81805</v>
      </c>
      <c r="AC10" s="19" t="n">
        <v>30.51002</v>
      </c>
      <c r="AD10" s="19" t="n">
        <v>22.88172</v>
      </c>
      <c r="AE10" s="19" t="n">
        <v>25.10402</v>
      </c>
      <c r="AF10" s="19" t="n">
        <v>27.10881</v>
      </c>
      <c r="AG10" s="19" t="n">
        <v>25.52011</v>
      </c>
      <c r="AH10" s="19" t="n">
        <v>24.97163</v>
      </c>
      <c r="AI10" s="19" t="n">
        <v>24.87076</v>
      </c>
      <c r="AJ10" s="19" t="n">
        <v>25.72185</v>
      </c>
      <c r="AK10" s="19" t="n">
        <v>25.03782</v>
      </c>
      <c r="AL10" s="19" t="n">
        <v>27.08674</v>
      </c>
      <c r="AM10" s="19" t="n">
        <v>27.07413</v>
      </c>
    </row>
    <row r="11">
      <c r="A11" s="3" t="inlineStr">
        <is>
          <t>R2</t>
        </is>
      </c>
      <c r="B11" s="3" t="inlineStr">
        <is>
          <t>서울한의원</t>
        </is>
      </c>
      <c r="C11" s="18" t="inlineStr"/>
      <c r="D11" s="19" t="n">
        <v>8.03177</v>
      </c>
      <c r="E11" s="19" t="n">
        <v>8.9396</v>
      </c>
      <c r="F11" s="19" t="n">
        <v>7.40764</v>
      </c>
      <c r="G11" s="19" t="n">
        <v>7.71655</v>
      </c>
      <c r="H11" s="19" t="n">
        <v>8.60547</v>
      </c>
      <c r="I11" s="19" t="n">
        <v>8.728400000000001</v>
      </c>
      <c r="J11" s="19" t="n">
        <v>8.003399999999999</v>
      </c>
      <c r="K11" s="19" t="n">
        <v>8.20829</v>
      </c>
      <c r="L11" s="19" t="n">
        <v>9.61102</v>
      </c>
      <c r="M11" s="19" t="n">
        <v>7.97503</v>
      </c>
      <c r="N11" s="19" t="n">
        <v>8.93014</v>
      </c>
      <c r="O11" s="19" t="n">
        <v>9.56373</v>
      </c>
      <c r="P11" s="19" t="n">
        <v>8.83558</v>
      </c>
      <c r="Q11" s="19" t="n">
        <v>8.353289999999999</v>
      </c>
      <c r="R11" s="19" t="n">
        <v>7.17437</v>
      </c>
      <c r="S11" s="19" t="n">
        <v>7.01361</v>
      </c>
      <c r="T11" s="19" t="n">
        <v>8.24297</v>
      </c>
      <c r="U11" s="19" t="n">
        <v>7.40764</v>
      </c>
      <c r="V11" s="19" t="n">
        <v>8.428940000000001</v>
      </c>
      <c r="W11" s="19" t="n">
        <v>7.43601</v>
      </c>
      <c r="X11" s="19" t="n">
        <v>8.73786</v>
      </c>
      <c r="Y11" s="19" t="n">
        <v>8.78829</v>
      </c>
      <c r="Z11" s="19" t="n">
        <v>8.230359999999999</v>
      </c>
      <c r="AA11" s="19" t="n">
        <v>8.85134</v>
      </c>
      <c r="AB11" s="19" t="n">
        <v>8.11688</v>
      </c>
      <c r="AC11" s="19" t="n">
        <v>8.583399999999999</v>
      </c>
      <c r="AD11" s="19" t="n">
        <v>6.64165</v>
      </c>
      <c r="AE11" s="19" t="n">
        <v>6.51557</v>
      </c>
      <c r="AF11" s="19" t="n">
        <v>7.61253</v>
      </c>
      <c r="AG11" s="19" t="n">
        <v>7.06405</v>
      </c>
      <c r="AH11" s="19" t="n">
        <v>6.77089</v>
      </c>
      <c r="AI11" s="19" t="n">
        <v>7.11763</v>
      </c>
      <c r="AJ11" s="19" t="n">
        <v>8.000249999999999</v>
      </c>
      <c r="AK11" s="19" t="n">
        <v>7.4959</v>
      </c>
      <c r="AL11" s="19" t="n">
        <v>8.31231</v>
      </c>
      <c r="AM11" s="19" t="n">
        <v>8.04438</v>
      </c>
    </row>
    <row r="12">
      <c r="A12" s="3" t="inlineStr">
        <is>
          <t>R2</t>
        </is>
      </c>
      <c r="B12" s="3" t="inlineStr">
        <is>
          <t>서울산부인과</t>
        </is>
      </c>
      <c r="C12" s="18" t="inlineStr"/>
      <c r="D12" s="19" t="n">
        <v>8.060140000000001</v>
      </c>
      <c r="E12" s="19" t="n">
        <v>7.54948</v>
      </c>
      <c r="F12" s="19" t="n">
        <v>7.4234</v>
      </c>
      <c r="G12" s="19" t="n">
        <v>7.32253</v>
      </c>
      <c r="H12" s="19" t="n">
        <v>7.78905</v>
      </c>
      <c r="I12" s="19" t="n">
        <v>7.80481</v>
      </c>
      <c r="J12" s="19" t="n">
        <v>6.83709</v>
      </c>
      <c r="K12" s="19" t="n">
        <v>7.73546</v>
      </c>
      <c r="L12" s="19" t="n">
        <v>7.60307</v>
      </c>
      <c r="M12" s="19" t="n">
        <v>7.4959</v>
      </c>
      <c r="N12" s="19" t="n">
        <v>7.76383</v>
      </c>
      <c r="O12" s="19" t="n">
        <v>8.756769999999999</v>
      </c>
      <c r="P12" s="19" t="n">
        <v>7.95927</v>
      </c>
      <c r="Q12" s="19" t="n">
        <v>7.36981</v>
      </c>
      <c r="R12" s="19" t="n">
        <v>7.50535</v>
      </c>
      <c r="S12" s="19" t="n">
        <v>7.02622</v>
      </c>
      <c r="T12" s="19" t="n">
        <v>7.48644</v>
      </c>
      <c r="U12" s="19" t="n">
        <v>6.38948</v>
      </c>
      <c r="V12" s="19" t="n">
        <v>9.570040000000001</v>
      </c>
      <c r="W12" s="19" t="n">
        <v>7.05459</v>
      </c>
      <c r="X12" s="19" t="n">
        <v>6.65742</v>
      </c>
      <c r="Y12" s="19" t="n">
        <v>5.74959</v>
      </c>
      <c r="Z12" s="19" t="n">
        <v>6.37687</v>
      </c>
      <c r="AA12" s="19" t="n">
        <v>6.76774</v>
      </c>
      <c r="AB12" s="19" t="n">
        <v>6.01122</v>
      </c>
      <c r="AC12" s="19" t="n">
        <v>7.07666</v>
      </c>
      <c r="AD12" s="19" t="n">
        <v>5.53208</v>
      </c>
      <c r="AE12" s="19" t="n">
        <v>5.93556</v>
      </c>
      <c r="AF12" s="19" t="n">
        <v>5.6298</v>
      </c>
      <c r="AG12" s="19" t="n">
        <v>6.09317</v>
      </c>
      <c r="AH12" s="19" t="n">
        <v>5.86622</v>
      </c>
      <c r="AI12" s="19" t="n">
        <v>5.73698</v>
      </c>
      <c r="AJ12" s="19" t="n">
        <v>6.16567</v>
      </c>
      <c r="AK12" s="19" t="n">
        <v>6.28546</v>
      </c>
      <c r="AL12" s="19" t="n">
        <v>6.42415</v>
      </c>
      <c r="AM12" s="19" t="n">
        <v>6.96318</v>
      </c>
    </row>
    <row r="13">
      <c r="A13" s="3" t="inlineStr">
        <is>
          <t>R2</t>
        </is>
      </c>
      <c r="B13" s="3" t="inlineStr">
        <is>
          <t>서울이비인후과</t>
        </is>
      </c>
      <c r="C13" s="18" t="inlineStr"/>
      <c r="D13" s="19" t="n">
        <v>70.90846000000001</v>
      </c>
      <c r="E13" s="19" t="n">
        <v>94.08964</v>
      </c>
      <c r="F13" s="19" t="n">
        <v>87.77581000000001</v>
      </c>
      <c r="G13" s="19" t="n">
        <v>100</v>
      </c>
      <c r="H13" s="19" t="n">
        <v>82.64404999999999</v>
      </c>
      <c r="I13" s="19" t="n">
        <v>68.72399</v>
      </c>
      <c r="J13" s="19" t="n">
        <v>73.24423</v>
      </c>
      <c r="K13" s="19" t="n">
        <v>74.76043</v>
      </c>
      <c r="L13" s="19" t="n">
        <v>73.73282</v>
      </c>
      <c r="M13" s="19" t="n">
        <v>56.80872</v>
      </c>
      <c r="N13" s="19" t="n">
        <v>64.90984</v>
      </c>
      <c r="O13" s="19" t="n">
        <v>78.42641999999999</v>
      </c>
      <c r="P13" s="19" t="n">
        <v>62.48896</v>
      </c>
      <c r="Q13" s="19" t="n">
        <v>71.29302</v>
      </c>
      <c r="R13" s="19" t="n">
        <v>67.52616</v>
      </c>
      <c r="S13" s="19" t="n">
        <v>82.62829000000001</v>
      </c>
      <c r="T13" s="19" t="n">
        <v>88.9106</v>
      </c>
      <c r="U13" s="19" t="n">
        <v>49.69423</v>
      </c>
      <c r="V13" s="19" t="n">
        <v>66.48278000000001</v>
      </c>
      <c r="W13" s="19" t="n">
        <v>65.93746</v>
      </c>
      <c r="X13" s="19" t="n">
        <v>59.95776</v>
      </c>
      <c r="Y13" s="19" t="n">
        <v>44.58454</v>
      </c>
      <c r="Z13" s="19" t="n">
        <v>43.63573</v>
      </c>
      <c r="AA13" s="19" t="n">
        <v>47.40259</v>
      </c>
      <c r="AB13" s="19" t="n">
        <v>52.06783</v>
      </c>
      <c r="AC13" s="19" t="n">
        <v>65.348</v>
      </c>
      <c r="AD13" s="19" t="n">
        <v>66.56159</v>
      </c>
      <c r="AE13" s="19" t="n">
        <v>56.276</v>
      </c>
      <c r="AF13" s="19" t="n">
        <v>57.21535</v>
      </c>
      <c r="AG13" s="19" t="n">
        <v>54.00958</v>
      </c>
      <c r="AH13" s="19" t="n">
        <v>59.48493</v>
      </c>
      <c r="AI13" s="19" t="n">
        <v>63.80027</v>
      </c>
      <c r="AJ13" s="19" t="n">
        <v>54.06316</v>
      </c>
      <c r="AK13" s="19" t="n">
        <v>41.38507</v>
      </c>
      <c r="AL13" s="19" t="n">
        <v>43.32997</v>
      </c>
      <c r="AM13" s="19" t="n">
        <v>44.91867</v>
      </c>
    </row>
    <row r="14">
      <c r="A14" s="3" t="inlineStr">
        <is>
          <t>R2</t>
        </is>
      </c>
      <c r="B14" s="3" t="inlineStr">
        <is>
          <t>서울비뇨기과</t>
        </is>
      </c>
      <c r="C14" s="18" t="inlineStr"/>
      <c r="D14" s="19" t="n">
        <v>11.39831</v>
      </c>
      <c r="E14" s="19" t="n">
        <v>12.30614</v>
      </c>
      <c r="F14" s="19" t="n">
        <v>10.53145</v>
      </c>
      <c r="G14" s="19" t="n">
        <v>11.01689</v>
      </c>
      <c r="H14" s="19" t="n">
        <v>12.68125</v>
      </c>
      <c r="I14" s="19" t="n">
        <v>11.85537</v>
      </c>
      <c r="J14" s="19" t="n">
        <v>10.49993</v>
      </c>
      <c r="K14" s="19" t="n">
        <v>10.90026</v>
      </c>
      <c r="L14" s="19" t="n">
        <v>11.06733</v>
      </c>
      <c r="M14" s="19" t="n">
        <v>10.28874</v>
      </c>
      <c r="N14" s="19" t="n">
        <v>11.55276</v>
      </c>
      <c r="O14" s="19" t="n">
        <v>11.69461</v>
      </c>
      <c r="P14" s="19" t="n">
        <v>11.71983</v>
      </c>
      <c r="Q14" s="19" t="n">
        <v>11.32581</v>
      </c>
      <c r="R14" s="19" t="n">
        <v>9.76862</v>
      </c>
      <c r="S14" s="19" t="n">
        <v>10.30765</v>
      </c>
      <c r="T14" s="19" t="n">
        <v>11.65048</v>
      </c>
      <c r="U14" s="19" t="n">
        <v>10.83722</v>
      </c>
      <c r="V14" s="19" t="n">
        <v>9.705579999999999</v>
      </c>
      <c r="W14" s="19" t="n">
        <v>9.54482</v>
      </c>
      <c r="X14" s="19" t="n">
        <v>9.756019999999999</v>
      </c>
      <c r="Y14" s="19" t="n">
        <v>8.36905</v>
      </c>
      <c r="Z14" s="19" t="n">
        <v>8.05383</v>
      </c>
      <c r="AA14" s="19" t="n">
        <v>7.73862</v>
      </c>
      <c r="AB14" s="19" t="n">
        <v>6.97894</v>
      </c>
      <c r="AC14" s="19" t="n">
        <v>7.46438</v>
      </c>
      <c r="AD14" s="19" t="n">
        <v>6.15622</v>
      </c>
      <c r="AE14" s="19" t="n">
        <v>6.9947</v>
      </c>
      <c r="AF14" s="19" t="n">
        <v>8.04753</v>
      </c>
      <c r="AG14" s="19" t="n">
        <v>6.65111</v>
      </c>
      <c r="AH14" s="19" t="n">
        <v>6.04589</v>
      </c>
      <c r="AI14" s="19" t="n">
        <v>6.20665</v>
      </c>
      <c r="AJ14" s="19" t="n">
        <v>6.07741</v>
      </c>
      <c r="AK14" s="19" t="n">
        <v>5.77795</v>
      </c>
      <c r="AL14" s="19" t="n">
        <v>6.55655</v>
      </c>
      <c r="AM14" s="19" t="n">
        <v>6.87807</v>
      </c>
    </row>
    <row r="15">
      <c r="A15" s="3" t="inlineStr">
        <is>
          <t>R3</t>
        </is>
      </c>
      <c r="B15" s="3" t="inlineStr">
        <is>
          <t>서울피부과</t>
        </is>
      </c>
      <c r="C15" s="18" t="inlineStr">
        <is>
          <t>앵커</t>
        </is>
      </c>
      <c r="D15" s="19" t="n">
        <v>20.05259</v>
      </c>
      <c r="E15" s="19" t="n">
        <v>21.1921</v>
      </c>
      <c r="F15" s="19" t="n">
        <v>17.68387</v>
      </c>
      <c r="G15" s="19" t="n">
        <v>17.91014</v>
      </c>
      <c r="H15" s="19" t="n">
        <v>21.17376</v>
      </c>
      <c r="I15" s="19" t="n">
        <v>21.09833</v>
      </c>
      <c r="J15" s="19" t="n">
        <v>20.89856</v>
      </c>
      <c r="K15" s="19" t="n">
        <v>20.45621</v>
      </c>
      <c r="L15" s="19" t="n">
        <v>21.4938</v>
      </c>
      <c r="M15" s="19" t="n">
        <v>19.78758</v>
      </c>
      <c r="N15" s="19" t="n">
        <v>23.17963</v>
      </c>
      <c r="O15" s="19" t="n">
        <v>23.22243</v>
      </c>
      <c r="P15" s="19" t="n">
        <v>20.69063</v>
      </c>
      <c r="Q15" s="19" t="n">
        <v>19.48385</v>
      </c>
      <c r="R15" s="19" t="n">
        <v>17.4739</v>
      </c>
      <c r="S15" s="19" t="n">
        <v>17.75318</v>
      </c>
      <c r="T15" s="19" t="n">
        <v>21.62426</v>
      </c>
      <c r="U15" s="19" t="n">
        <v>19.54908</v>
      </c>
      <c r="V15" s="19" t="n">
        <v>19.51239</v>
      </c>
      <c r="W15" s="19" t="n">
        <v>18.65419</v>
      </c>
      <c r="X15" s="19" t="n">
        <v>19.99143</v>
      </c>
      <c r="Y15" s="19" t="n">
        <v>19.32893</v>
      </c>
      <c r="Z15" s="19" t="n">
        <v>21.0596</v>
      </c>
      <c r="AA15" s="19" t="n">
        <v>21.14726</v>
      </c>
      <c r="AB15" s="19" t="n">
        <v>17.98964</v>
      </c>
      <c r="AC15" s="19" t="n">
        <v>19.73051</v>
      </c>
      <c r="AD15" s="19" t="n">
        <v>14.79737</v>
      </c>
      <c r="AE15" s="19" t="n">
        <v>16.2345</v>
      </c>
      <c r="AF15" s="19" t="n">
        <v>17.53098</v>
      </c>
      <c r="AG15" s="19" t="n">
        <v>16.50358</v>
      </c>
      <c r="AH15" s="19" t="n">
        <v>16.14889</v>
      </c>
      <c r="AI15" s="19" t="n">
        <v>16.08365</v>
      </c>
      <c r="AJ15" s="19" t="n">
        <v>16.63405</v>
      </c>
      <c r="AK15" s="19" t="n">
        <v>16.19169</v>
      </c>
      <c r="AL15" s="19" t="n">
        <v>17.51671</v>
      </c>
      <c r="AM15" s="19" t="n">
        <v>17.50856</v>
      </c>
    </row>
    <row r="16">
      <c r="A16" s="3" t="inlineStr">
        <is>
          <t>R3</t>
        </is>
      </c>
      <c r="B16" s="3" t="inlineStr">
        <is>
          <t>부산피부과</t>
        </is>
      </c>
      <c r="C16" s="18" t="inlineStr"/>
      <c r="D16" s="19" t="n">
        <v>12.95865</v>
      </c>
      <c r="E16" s="19" t="n">
        <v>13.19716</v>
      </c>
      <c r="F16" s="19" t="n">
        <v>10.82436</v>
      </c>
      <c r="G16" s="19" t="n">
        <v>12.32061</v>
      </c>
      <c r="H16" s="19" t="n">
        <v>15.60257</v>
      </c>
      <c r="I16" s="19" t="n">
        <v>19.15565</v>
      </c>
      <c r="J16" s="19" t="n">
        <v>17.57175</v>
      </c>
      <c r="K16" s="19" t="n">
        <v>15.38038</v>
      </c>
      <c r="L16" s="19" t="n">
        <v>14.81979</v>
      </c>
      <c r="M16" s="19" t="n">
        <v>12.82819</v>
      </c>
      <c r="N16" s="19" t="n">
        <v>23.08789</v>
      </c>
      <c r="O16" s="19" t="n">
        <v>30.61399</v>
      </c>
      <c r="P16" s="19" t="n">
        <v>16.12646</v>
      </c>
      <c r="Q16" s="19" t="n">
        <v>12.90769</v>
      </c>
      <c r="R16" s="19" t="n">
        <v>12.11472</v>
      </c>
      <c r="S16" s="19" t="n">
        <v>14.53848</v>
      </c>
      <c r="T16" s="19" t="n">
        <v>22.05642</v>
      </c>
      <c r="U16" s="19" t="n">
        <v>29.91275</v>
      </c>
      <c r="V16" s="19" t="n">
        <v>51.07224</v>
      </c>
      <c r="W16" s="19" t="n">
        <v>30.51614</v>
      </c>
      <c r="X16" s="19" t="n">
        <v>19.72031</v>
      </c>
      <c r="Y16" s="19" t="n">
        <v>26.40451</v>
      </c>
      <c r="Z16" s="19" t="n">
        <v>31.00742</v>
      </c>
      <c r="AA16" s="19" t="n">
        <v>26.87336</v>
      </c>
      <c r="AB16" s="19" t="n">
        <v>28.1515</v>
      </c>
      <c r="AC16" s="19" t="n">
        <v>37.52853</v>
      </c>
      <c r="AD16" s="19" t="n">
        <v>18.08341</v>
      </c>
      <c r="AE16" s="19" t="n">
        <v>16.03677</v>
      </c>
      <c r="AF16" s="19" t="n">
        <v>20.96787</v>
      </c>
      <c r="AG16" s="19" t="n">
        <v>21.51214</v>
      </c>
      <c r="AH16" s="19" t="n">
        <v>27.30552</v>
      </c>
      <c r="AI16" s="19" t="n">
        <v>14.71991</v>
      </c>
      <c r="AJ16" s="19" t="n">
        <v>17.32713</v>
      </c>
      <c r="AK16" s="19" t="n">
        <v>16.11627</v>
      </c>
      <c r="AL16" s="19" t="n">
        <v>18.59915</v>
      </c>
      <c r="AM16" s="19" t="n">
        <v>14.78514</v>
      </c>
    </row>
    <row r="17">
      <c r="A17" s="3" t="inlineStr">
        <is>
          <t>R3</t>
        </is>
      </c>
      <c r="B17" s="3" t="inlineStr">
        <is>
          <t>인천피부과</t>
        </is>
      </c>
      <c r="C17" s="18" t="inlineStr"/>
      <c r="D17" s="19" t="n">
        <v>10.90998</v>
      </c>
      <c r="E17" s="19" t="n">
        <v>11.07509</v>
      </c>
      <c r="F17" s="19" t="n">
        <v>10.02323</v>
      </c>
      <c r="G17" s="19" t="n">
        <v>12.6325</v>
      </c>
      <c r="H17" s="19" t="n">
        <v>14.00236</v>
      </c>
      <c r="I17" s="19" t="n">
        <v>18.90492</v>
      </c>
      <c r="J17" s="19" t="n">
        <v>18.80911</v>
      </c>
      <c r="K17" s="19" t="n">
        <v>33.32925</v>
      </c>
      <c r="L17" s="19" t="n">
        <v>14.83406</v>
      </c>
      <c r="M17" s="19" t="n">
        <v>12.70588</v>
      </c>
      <c r="N17" s="19" t="n">
        <v>25.34654</v>
      </c>
      <c r="O17" s="19" t="n">
        <v>16.36904</v>
      </c>
      <c r="P17" s="19" t="n">
        <v>11.82933</v>
      </c>
      <c r="Q17" s="19" t="n">
        <v>13.189</v>
      </c>
      <c r="R17" s="19" t="n">
        <v>13.29908</v>
      </c>
      <c r="S17" s="19" t="n">
        <v>12.60803</v>
      </c>
      <c r="T17" s="19" t="n">
        <v>16.32827</v>
      </c>
      <c r="U17" s="19" t="n">
        <v>18.62157</v>
      </c>
      <c r="V17" s="19" t="n">
        <v>16.66666</v>
      </c>
      <c r="W17" s="19" t="n">
        <v>21.30014</v>
      </c>
      <c r="X17" s="19" t="n">
        <v>28.43892</v>
      </c>
      <c r="Y17" s="19" t="n">
        <v>16.84605</v>
      </c>
      <c r="Z17" s="19" t="n">
        <v>22.07884</v>
      </c>
      <c r="AA17" s="19" t="n">
        <v>22.45189</v>
      </c>
      <c r="AB17" s="19" t="n">
        <v>14.38967</v>
      </c>
      <c r="AC17" s="19" t="n">
        <v>17.93868</v>
      </c>
      <c r="AD17" s="19" t="n">
        <v>12.08414</v>
      </c>
      <c r="AE17" s="19" t="n">
        <v>14.08594</v>
      </c>
      <c r="AF17" s="19" t="n">
        <v>16.21616</v>
      </c>
      <c r="AG17" s="19" t="n">
        <v>14.25106</v>
      </c>
      <c r="AH17" s="19" t="n">
        <v>16.38943</v>
      </c>
      <c r="AI17" s="19" t="n">
        <v>12.37565</v>
      </c>
      <c r="AJ17" s="19" t="n">
        <v>13.35004</v>
      </c>
      <c r="AK17" s="19" t="n">
        <v>11.31156</v>
      </c>
      <c r="AL17" s="19" t="n">
        <v>10.61439</v>
      </c>
      <c r="AM17" s="19" t="n">
        <v>10.22708</v>
      </c>
    </row>
    <row r="18">
      <c r="A18" s="3" t="inlineStr">
        <is>
          <t>R3</t>
        </is>
      </c>
      <c r="B18" s="3" t="inlineStr">
        <is>
          <t>광주피부과</t>
        </is>
      </c>
      <c r="C18" s="18" t="inlineStr"/>
      <c r="D18" s="19" t="n">
        <v>30.55487</v>
      </c>
      <c r="E18" s="19" t="n">
        <v>19.55724</v>
      </c>
      <c r="F18" s="19" t="n">
        <v>15.96542</v>
      </c>
      <c r="G18" s="19" t="n">
        <v>20.63356</v>
      </c>
      <c r="H18" s="19" t="n">
        <v>24.27429</v>
      </c>
      <c r="I18" s="19" t="n">
        <v>39.93803</v>
      </c>
      <c r="J18" s="19" t="n">
        <v>22.98801</v>
      </c>
      <c r="K18" s="19" t="n">
        <v>19.95882</v>
      </c>
      <c r="L18" s="19" t="n">
        <v>26.3882</v>
      </c>
      <c r="M18" s="19" t="n">
        <v>24.1581</v>
      </c>
      <c r="N18" s="19" t="n">
        <v>23.41609</v>
      </c>
      <c r="O18" s="19" t="n">
        <v>22.55177</v>
      </c>
      <c r="P18" s="19" t="n">
        <v>21.54476</v>
      </c>
      <c r="Q18" s="19" t="n">
        <v>19.23312</v>
      </c>
      <c r="R18" s="19" t="n">
        <v>17.09474</v>
      </c>
      <c r="S18" s="19" t="n">
        <v>18.24853</v>
      </c>
      <c r="T18" s="19" t="n">
        <v>24.33749</v>
      </c>
      <c r="U18" s="19" t="n">
        <v>31.70662</v>
      </c>
      <c r="V18" s="19" t="n">
        <v>28.8405</v>
      </c>
      <c r="W18" s="19" t="n">
        <v>19.68158</v>
      </c>
      <c r="X18" s="19" t="n">
        <v>33.10502</v>
      </c>
      <c r="Y18" s="19" t="n">
        <v>30.17367</v>
      </c>
      <c r="Z18" s="19" t="n">
        <v>25.48515</v>
      </c>
      <c r="AA18" s="19" t="n">
        <v>30.84841</v>
      </c>
      <c r="AB18" s="19" t="n">
        <v>22.26435</v>
      </c>
      <c r="AC18" s="19" t="n">
        <v>26.80406</v>
      </c>
      <c r="AD18" s="19" t="n">
        <v>21.61611</v>
      </c>
      <c r="AE18" s="19" t="n">
        <v>24.11529</v>
      </c>
      <c r="AF18" s="19" t="n">
        <v>27.62149</v>
      </c>
      <c r="AG18" s="19" t="n">
        <v>27.16079</v>
      </c>
      <c r="AH18" s="19" t="n">
        <v>33.68599</v>
      </c>
      <c r="AI18" s="19" t="n">
        <v>29.81898</v>
      </c>
      <c r="AJ18" s="19" t="n">
        <v>30.60176</v>
      </c>
      <c r="AK18" s="19" t="n">
        <v>34.3913</v>
      </c>
      <c r="AL18" s="19" t="n">
        <v>49.77372</v>
      </c>
      <c r="AM18" s="19" t="n">
        <v>41.26304</v>
      </c>
    </row>
    <row r="19">
      <c r="A19" s="3" t="inlineStr">
        <is>
          <t>R3</t>
        </is>
      </c>
      <c r="B19" s="3" t="inlineStr">
        <is>
          <t>대전피부과</t>
        </is>
      </c>
      <c r="C19" s="18" t="inlineStr"/>
      <c r="D19" s="19" t="n">
        <v>28.19634</v>
      </c>
      <c r="E19" s="19" t="n">
        <v>28.6815</v>
      </c>
      <c r="F19" s="19" t="n">
        <v>24.82876</v>
      </c>
      <c r="G19" s="19" t="n">
        <v>26.2924</v>
      </c>
      <c r="H19" s="19" t="n">
        <v>29.91479</v>
      </c>
      <c r="I19" s="19" t="n">
        <v>34.71746</v>
      </c>
      <c r="J19" s="19" t="n">
        <v>37.31857</v>
      </c>
      <c r="K19" s="19" t="n">
        <v>30.38772</v>
      </c>
      <c r="L19" s="19" t="n">
        <v>31.73312</v>
      </c>
      <c r="M19" s="19" t="n">
        <v>30.84434</v>
      </c>
      <c r="N19" s="19" t="n">
        <v>33.02144</v>
      </c>
      <c r="O19" s="19" t="n">
        <v>63.75978</v>
      </c>
      <c r="P19" s="19" t="n">
        <v>49.14995</v>
      </c>
      <c r="Q19" s="19" t="n">
        <v>38.61709</v>
      </c>
      <c r="R19" s="19" t="n">
        <v>34.65427</v>
      </c>
      <c r="S19" s="19" t="n">
        <v>32.69121</v>
      </c>
      <c r="T19" s="19" t="n">
        <v>66.64832</v>
      </c>
      <c r="U19" s="19" t="n">
        <v>58.75122</v>
      </c>
      <c r="V19" s="19" t="n">
        <v>85.24951</v>
      </c>
      <c r="W19" s="19" t="n">
        <v>100</v>
      </c>
      <c r="X19" s="19" t="n">
        <v>63.50497</v>
      </c>
      <c r="Y19" s="19" t="n">
        <v>63.90859</v>
      </c>
      <c r="Z19" s="19" t="n">
        <v>48.86048</v>
      </c>
      <c r="AA19" s="19" t="n">
        <v>47.40296</v>
      </c>
      <c r="AB19" s="19" t="n">
        <v>54.69871</v>
      </c>
      <c r="AC19" s="19" t="n">
        <v>64.44267000000001</v>
      </c>
      <c r="AD19" s="19" t="n">
        <v>33.17433</v>
      </c>
      <c r="AE19" s="19" t="n">
        <v>33.67376</v>
      </c>
      <c r="AF19" s="19" t="n">
        <v>37.0291</v>
      </c>
      <c r="AG19" s="19" t="n">
        <v>45.37671</v>
      </c>
      <c r="AH19" s="19" t="n">
        <v>42.31082</v>
      </c>
      <c r="AI19" s="19" t="n">
        <v>35.78563</v>
      </c>
      <c r="AJ19" s="19" t="n">
        <v>43.71738</v>
      </c>
      <c r="AK19" s="19" t="n">
        <v>35.9059</v>
      </c>
      <c r="AL19" s="19" t="n">
        <v>45.38282</v>
      </c>
      <c r="AM19" s="19" t="n">
        <v>46.43264</v>
      </c>
    </row>
    <row r="20">
      <c r="A20" s="3" t="inlineStr">
        <is>
          <t>R4</t>
        </is>
      </c>
      <c r="B20" s="3" t="inlineStr">
        <is>
          <t>서울피부과</t>
        </is>
      </c>
      <c r="C20" s="18" t="inlineStr">
        <is>
          <t>앵커</t>
        </is>
      </c>
      <c r="D20" s="19" t="n">
        <v>25.17208</v>
      </c>
      <c r="E20" s="19" t="n">
        <v>26.60252</v>
      </c>
      <c r="F20" s="19" t="n">
        <v>22.19862</v>
      </c>
      <c r="G20" s="19" t="n">
        <v>22.48266</v>
      </c>
      <c r="H20" s="19" t="n">
        <v>26.57949</v>
      </c>
      <c r="I20" s="19" t="n">
        <v>26.48481</v>
      </c>
      <c r="J20" s="19" t="n">
        <v>26.23403</v>
      </c>
      <c r="K20" s="19" t="n">
        <v>25.67875</v>
      </c>
      <c r="L20" s="19" t="n">
        <v>26.98124</v>
      </c>
      <c r="M20" s="19" t="n">
        <v>24.83942</v>
      </c>
      <c r="N20" s="19" t="n">
        <v>29.09746</v>
      </c>
      <c r="O20" s="19" t="n">
        <v>29.1512</v>
      </c>
      <c r="P20" s="19" t="n">
        <v>25.97302</v>
      </c>
      <c r="Q20" s="19" t="n">
        <v>24.45814</v>
      </c>
      <c r="R20" s="19" t="n">
        <v>21.93505</v>
      </c>
      <c r="S20" s="19" t="n">
        <v>22.28562</v>
      </c>
      <c r="T20" s="19" t="n">
        <v>27.14501</v>
      </c>
      <c r="U20" s="19" t="n">
        <v>24.54003</v>
      </c>
      <c r="V20" s="19" t="n">
        <v>24.49397</v>
      </c>
      <c r="W20" s="19" t="n">
        <v>23.41666</v>
      </c>
      <c r="X20" s="19" t="n">
        <v>25.09531</v>
      </c>
      <c r="Y20" s="19" t="n">
        <v>24.26367</v>
      </c>
      <c r="Z20" s="19" t="n">
        <v>26.43619</v>
      </c>
      <c r="AA20" s="19" t="n">
        <v>26.54622</v>
      </c>
      <c r="AB20" s="19" t="n">
        <v>22.58246</v>
      </c>
      <c r="AC20" s="19" t="n">
        <v>24.76777</v>
      </c>
      <c r="AD20" s="19" t="n">
        <v>18.57519</v>
      </c>
      <c r="AE20" s="19" t="n">
        <v>20.37923</v>
      </c>
      <c r="AF20" s="19" t="n">
        <v>22.0067</v>
      </c>
      <c r="AG20" s="19" t="n">
        <v>20.717</v>
      </c>
      <c r="AH20" s="19" t="n">
        <v>20.27175</v>
      </c>
      <c r="AI20" s="19" t="n">
        <v>20.18987</v>
      </c>
      <c r="AJ20" s="19" t="n">
        <v>20.88077</v>
      </c>
      <c r="AK20" s="19" t="n">
        <v>20.32549</v>
      </c>
      <c r="AL20" s="19" t="n">
        <v>21.98879</v>
      </c>
      <c r="AM20" s="19" t="n">
        <v>21.97855</v>
      </c>
    </row>
    <row r="21">
      <c r="A21" s="3" t="inlineStr">
        <is>
          <t>R4</t>
        </is>
      </c>
      <c r="B21" s="3" t="inlineStr">
        <is>
          <t>울산피부과</t>
        </is>
      </c>
      <c r="C21" s="18" t="inlineStr"/>
      <c r="D21" s="19" t="n">
        <v>21.64333</v>
      </c>
      <c r="E21" s="19" t="n">
        <v>24.04616</v>
      </c>
      <c r="F21" s="19" t="n">
        <v>20.55835</v>
      </c>
      <c r="G21" s="19" t="n">
        <v>22.63363</v>
      </c>
      <c r="H21" s="19" t="n">
        <v>26.19821</v>
      </c>
      <c r="I21" s="19" t="n">
        <v>24.92643</v>
      </c>
      <c r="J21" s="19" t="n">
        <v>33.25827</v>
      </c>
      <c r="K21" s="19" t="n">
        <v>32.48036</v>
      </c>
      <c r="L21" s="19" t="n">
        <v>32.31914</v>
      </c>
      <c r="M21" s="19" t="n">
        <v>24.77033</v>
      </c>
      <c r="N21" s="19" t="n">
        <v>28.41167</v>
      </c>
      <c r="O21" s="19" t="n">
        <v>35.70715</v>
      </c>
      <c r="P21" s="19" t="n">
        <v>35.25166</v>
      </c>
      <c r="Q21" s="19" t="n">
        <v>28.28885</v>
      </c>
      <c r="R21" s="19" t="n">
        <v>23.54205</v>
      </c>
      <c r="S21" s="19" t="n">
        <v>25.26932</v>
      </c>
      <c r="T21" s="19" t="n">
        <v>36.88937</v>
      </c>
      <c r="U21" s="19" t="n">
        <v>49.31804</v>
      </c>
      <c r="V21" s="19" t="n">
        <v>40.0087</v>
      </c>
      <c r="W21" s="19" t="n">
        <v>35.65853</v>
      </c>
      <c r="X21" s="19" t="n">
        <v>33.31968</v>
      </c>
      <c r="Y21" s="19" t="n">
        <v>33.43483</v>
      </c>
      <c r="Z21" s="19" t="n">
        <v>43.6398</v>
      </c>
      <c r="AA21" s="19" t="n">
        <v>37.5854</v>
      </c>
      <c r="AB21" s="19" t="n">
        <v>41.8025</v>
      </c>
      <c r="AC21" s="19" t="n">
        <v>34.77059</v>
      </c>
      <c r="AD21" s="19" t="n">
        <v>27.24992</v>
      </c>
      <c r="AE21" s="19" t="n">
        <v>32.02743</v>
      </c>
      <c r="AF21" s="19" t="n">
        <v>38.02809</v>
      </c>
      <c r="AG21" s="19" t="n">
        <v>35.02136</v>
      </c>
      <c r="AH21" s="19" t="n">
        <v>35.00857</v>
      </c>
      <c r="AI21" s="19" t="n">
        <v>28.88252</v>
      </c>
      <c r="AJ21" s="19" t="n">
        <v>34.24601</v>
      </c>
      <c r="AK21" s="19" t="n">
        <v>29.96494</v>
      </c>
      <c r="AL21" s="19" t="n">
        <v>38.23281</v>
      </c>
      <c r="AM21" s="19" t="n">
        <v>47.25044</v>
      </c>
    </row>
    <row r="22">
      <c r="A22" s="3" t="inlineStr">
        <is>
          <t>R4</t>
        </is>
      </c>
      <c r="B22" s="3" t="inlineStr">
        <is>
          <t>수원피부과</t>
        </is>
      </c>
      <c r="C22" s="18" t="inlineStr"/>
      <c r="D22" s="19" t="n">
        <v>22.92023</v>
      </c>
      <c r="E22" s="19" t="n">
        <v>24.26622</v>
      </c>
      <c r="F22" s="19" t="n">
        <v>22.87673</v>
      </c>
      <c r="G22" s="19" t="n">
        <v>31.52332</v>
      </c>
      <c r="H22" s="19" t="n">
        <v>32.44453</v>
      </c>
      <c r="I22" s="19" t="n">
        <v>30.79915</v>
      </c>
      <c r="J22" s="19" t="n">
        <v>31.10877</v>
      </c>
      <c r="K22" s="19" t="n">
        <v>31.50029</v>
      </c>
      <c r="L22" s="19" t="n">
        <v>37.68776</v>
      </c>
      <c r="M22" s="19" t="n">
        <v>32.72089</v>
      </c>
      <c r="N22" s="19" t="n">
        <v>33.79308</v>
      </c>
      <c r="O22" s="19" t="n">
        <v>47.09178</v>
      </c>
      <c r="P22" s="19" t="n">
        <v>32.03254</v>
      </c>
      <c r="Q22" s="19" t="n">
        <v>30.25921</v>
      </c>
      <c r="R22" s="19" t="n">
        <v>27.99457</v>
      </c>
      <c r="S22" s="19" t="n">
        <v>33.16615</v>
      </c>
      <c r="T22" s="19" t="n">
        <v>53.62982</v>
      </c>
      <c r="U22" s="19" t="n">
        <v>100</v>
      </c>
      <c r="V22" s="19" t="n">
        <v>46.46485</v>
      </c>
      <c r="W22" s="19" t="n">
        <v>33.84426</v>
      </c>
      <c r="X22" s="19" t="n">
        <v>66.14294</v>
      </c>
      <c r="Y22" s="19" t="n">
        <v>83.61268</v>
      </c>
      <c r="Z22" s="19" t="n">
        <v>78.38992</v>
      </c>
      <c r="AA22" s="19" t="n">
        <v>59.39763</v>
      </c>
      <c r="AB22" s="19" t="n">
        <v>70.44448</v>
      </c>
      <c r="AC22" s="19" t="n">
        <v>75.76447</v>
      </c>
      <c r="AD22" s="19" t="n">
        <v>52.074</v>
      </c>
      <c r="AE22" s="19" t="n">
        <v>40.8429</v>
      </c>
      <c r="AF22" s="19" t="n">
        <v>40.5563</v>
      </c>
      <c r="AG22" s="19" t="n">
        <v>33.85449</v>
      </c>
      <c r="AH22" s="19" t="n">
        <v>43.42229</v>
      </c>
      <c r="AI22" s="19" t="n">
        <v>35.01624</v>
      </c>
      <c r="AJ22" s="19" t="n">
        <v>53.27157</v>
      </c>
      <c r="AK22" s="19" t="n">
        <v>47.59845</v>
      </c>
      <c r="AL22" s="19" t="n">
        <v>77.09766999999999</v>
      </c>
      <c r="AM22" s="19" t="n">
        <v>81.76002</v>
      </c>
    </row>
    <row r="23">
      <c r="A23" s="3" t="inlineStr">
        <is>
          <t>R4</t>
        </is>
      </c>
      <c r="B23" s="3" t="inlineStr">
        <is>
          <t>창원피부과</t>
        </is>
      </c>
      <c r="C23" s="18" t="inlineStr"/>
      <c r="D23" s="19" t="n">
        <v>22.42636</v>
      </c>
      <c r="E23" s="19" t="n">
        <v>23.34757</v>
      </c>
      <c r="F23" s="19" t="n">
        <v>20.09519</v>
      </c>
      <c r="G23" s="19" t="n">
        <v>22.15256</v>
      </c>
      <c r="H23" s="19" t="n">
        <v>27.2141</v>
      </c>
      <c r="I23" s="19" t="n">
        <v>26.65114</v>
      </c>
      <c r="J23" s="19" t="n">
        <v>24.65518</v>
      </c>
      <c r="K23" s="19" t="n">
        <v>32.72601</v>
      </c>
      <c r="L23" s="19" t="n">
        <v>60.38281</v>
      </c>
      <c r="M23" s="19" t="n">
        <v>54.74807</v>
      </c>
      <c r="N23" s="19" t="n">
        <v>26.67673</v>
      </c>
      <c r="O23" s="19" t="n">
        <v>26.02164</v>
      </c>
      <c r="P23" s="19" t="n">
        <v>24.72427</v>
      </c>
      <c r="Q23" s="19" t="n">
        <v>23.18892</v>
      </c>
      <c r="R23" s="19" t="n">
        <v>22.02205</v>
      </c>
      <c r="S23" s="19" t="n">
        <v>24.35323</v>
      </c>
      <c r="T23" s="19" t="n">
        <v>32.32682</v>
      </c>
      <c r="U23" s="19" t="n">
        <v>27.99457</v>
      </c>
      <c r="V23" s="19" t="n">
        <v>49.02377</v>
      </c>
      <c r="W23" s="19" t="n">
        <v>30.04171</v>
      </c>
      <c r="X23" s="19" t="n">
        <v>41.933</v>
      </c>
      <c r="Y23" s="19" t="n">
        <v>42.44223</v>
      </c>
      <c r="Z23" s="19" t="n">
        <v>36.78702</v>
      </c>
      <c r="AA23" s="19" t="n">
        <v>59.05473</v>
      </c>
      <c r="AB23" s="19" t="n">
        <v>34.11039</v>
      </c>
      <c r="AC23" s="19" t="n">
        <v>33.31968</v>
      </c>
      <c r="AD23" s="19" t="n">
        <v>25.60454</v>
      </c>
      <c r="AE23" s="19" t="n">
        <v>35.99375</v>
      </c>
      <c r="AF23" s="19" t="n">
        <v>32.12978</v>
      </c>
      <c r="AG23" s="19" t="n">
        <v>26.99659</v>
      </c>
      <c r="AH23" s="19" t="n">
        <v>31.22393</v>
      </c>
      <c r="AI23" s="19" t="n">
        <v>28.35538</v>
      </c>
      <c r="AJ23" s="19" t="n">
        <v>29.56575</v>
      </c>
      <c r="AK23" s="19" t="n">
        <v>23.63673</v>
      </c>
      <c r="AL23" s="19" t="n">
        <v>44.86041</v>
      </c>
      <c r="AM23" s="19" t="n">
        <v>36.91752</v>
      </c>
    </row>
    <row r="24">
      <c r="A24" s="3" t="inlineStr">
        <is>
          <t>R4</t>
        </is>
      </c>
      <c r="B24" s="3" t="inlineStr">
        <is>
          <t>제주피부과</t>
        </is>
      </c>
      <c r="C24" s="18" t="inlineStr"/>
      <c r="D24" s="19" t="n">
        <v>8.180859999999999</v>
      </c>
      <c r="E24" s="19" t="n">
        <v>9.19675</v>
      </c>
      <c r="F24" s="19" t="n">
        <v>7.98894</v>
      </c>
      <c r="G24" s="19" t="n">
        <v>8.787319999999999</v>
      </c>
      <c r="H24" s="19" t="n">
        <v>10.62207</v>
      </c>
      <c r="I24" s="19" t="n">
        <v>9.954190000000001</v>
      </c>
      <c r="J24" s="19" t="n">
        <v>10.3457</v>
      </c>
      <c r="K24" s="19" t="n">
        <v>10.2587</v>
      </c>
      <c r="L24" s="19" t="n">
        <v>11.20038</v>
      </c>
      <c r="M24" s="19" t="n">
        <v>11.09803</v>
      </c>
      <c r="N24" s="19" t="n">
        <v>11.22086</v>
      </c>
      <c r="O24" s="19" t="n">
        <v>10.402</v>
      </c>
      <c r="P24" s="19" t="n">
        <v>9.55756</v>
      </c>
      <c r="Q24" s="19" t="n">
        <v>8.357419999999999</v>
      </c>
      <c r="R24" s="19" t="n">
        <v>7.82773</v>
      </c>
      <c r="S24" s="19" t="n">
        <v>8.34463</v>
      </c>
      <c r="T24" s="19" t="n">
        <v>15.60428</v>
      </c>
      <c r="U24" s="19" t="n">
        <v>12.94557</v>
      </c>
      <c r="V24" s="19" t="n">
        <v>17.83566</v>
      </c>
      <c r="W24" s="19" t="n">
        <v>15.59661</v>
      </c>
      <c r="X24" s="19" t="n">
        <v>12.82018</v>
      </c>
      <c r="Y24" s="19" t="n">
        <v>15.90624</v>
      </c>
      <c r="Z24" s="19" t="n">
        <v>16.30287</v>
      </c>
      <c r="AA24" s="19" t="n">
        <v>15.43284</v>
      </c>
      <c r="AB24" s="19" t="n">
        <v>19.40172</v>
      </c>
      <c r="AC24" s="19" t="n">
        <v>12.87136</v>
      </c>
      <c r="AD24" s="19" t="n">
        <v>13.15028</v>
      </c>
      <c r="AE24" s="19" t="n">
        <v>16.18004</v>
      </c>
      <c r="AF24" s="19" t="n">
        <v>14.6191</v>
      </c>
      <c r="AG24" s="19" t="n">
        <v>10.0156</v>
      </c>
      <c r="AH24" s="19" t="n">
        <v>13.53412</v>
      </c>
      <c r="AI24" s="19" t="n">
        <v>11.33089</v>
      </c>
      <c r="AJ24" s="19" t="n">
        <v>12.17533</v>
      </c>
      <c r="AK24" s="19" t="n">
        <v>13.10422</v>
      </c>
      <c r="AL24" s="19" t="n">
        <v>12.1958</v>
      </c>
      <c r="AM24" s="19" t="n">
        <v>11.13641</v>
      </c>
    </row>
    <row r="25">
      <c r="A25" s="3" t="inlineStr">
        <is>
          <t>R5</t>
        </is>
      </c>
      <c r="B25" s="3" t="inlineStr">
        <is>
          <t>서울피부과</t>
        </is>
      </c>
      <c r="C25" s="18" t="inlineStr">
        <is>
          <t>앵커</t>
        </is>
      </c>
      <c r="D25" s="19" t="n">
        <v>42.29876</v>
      </c>
      <c r="E25" s="19" t="n">
        <v>44.70244</v>
      </c>
      <c r="F25" s="19" t="n">
        <v>37.3022</v>
      </c>
      <c r="G25" s="19" t="n">
        <v>37.77949</v>
      </c>
      <c r="H25" s="19" t="n">
        <v>44.66374</v>
      </c>
      <c r="I25" s="19" t="n">
        <v>44.50464</v>
      </c>
      <c r="J25" s="19" t="n">
        <v>44.08324</v>
      </c>
      <c r="K25" s="19" t="n">
        <v>43.15015</v>
      </c>
      <c r="L25" s="19" t="n">
        <v>45.33883</v>
      </c>
      <c r="M25" s="19" t="n">
        <v>41.73976</v>
      </c>
      <c r="N25" s="19" t="n">
        <v>48.8949</v>
      </c>
      <c r="O25" s="19" t="n">
        <v>48.9852</v>
      </c>
      <c r="P25" s="19" t="n">
        <v>43.64465</v>
      </c>
      <c r="Q25" s="19" t="n">
        <v>41.09907</v>
      </c>
      <c r="R25" s="19" t="n">
        <v>36.8593</v>
      </c>
      <c r="S25" s="19" t="n">
        <v>37.4484</v>
      </c>
      <c r="T25" s="19" t="n">
        <v>45.61403</v>
      </c>
      <c r="U25" s="19" t="n">
        <v>41.23667</v>
      </c>
      <c r="V25" s="19" t="n">
        <v>41.15927</v>
      </c>
      <c r="W25" s="19" t="n">
        <v>39.34898</v>
      </c>
      <c r="X25" s="19" t="n">
        <v>42.16976</v>
      </c>
      <c r="Y25" s="19" t="n">
        <v>40.77227</v>
      </c>
      <c r="Z25" s="19" t="n">
        <v>44.42294</v>
      </c>
      <c r="AA25" s="19" t="n">
        <v>44.60784</v>
      </c>
      <c r="AB25" s="19" t="n">
        <v>37.94719</v>
      </c>
      <c r="AC25" s="19" t="n">
        <v>41.61936</v>
      </c>
      <c r="AD25" s="19" t="n">
        <v>31.21345</v>
      </c>
      <c r="AE25" s="19" t="n">
        <v>34.24492</v>
      </c>
      <c r="AF25" s="19" t="n">
        <v>36.9797</v>
      </c>
      <c r="AG25" s="19" t="n">
        <v>34.81252</v>
      </c>
      <c r="AH25" s="19" t="n">
        <v>34.06432</v>
      </c>
      <c r="AI25" s="19" t="n">
        <v>33.92672</v>
      </c>
      <c r="AJ25" s="19" t="n">
        <v>35.08771</v>
      </c>
      <c r="AK25" s="19" t="n">
        <v>34.15462</v>
      </c>
      <c r="AL25" s="19" t="n">
        <v>36.9496</v>
      </c>
      <c r="AM25" s="19" t="n">
        <v>36.9324</v>
      </c>
    </row>
    <row r="26">
      <c r="A26" s="3" t="inlineStr">
        <is>
          <t>R5</t>
        </is>
      </c>
      <c r="B26" s="3" t="inlineStr">
        <is>
          <t>대구치과</t>
        </is>
      </c>
      <c r="C26" s="18" t="inlineStr"/>
      <c r="D26" s="19" t="n">
        <v>52.58857</v>
      </c>
      <c r="E26" s="19" t="n">
        <v>78.74957000000001</v>
      </c>
      <c r="F26" s="19" t="n">
        <v>95.53233</v>
      </c>
      <c r="G26" s="19" t="n">
        <v>59.12022</v>
      </c>
      <c r="H26" s="19" t="n">
        <v>38.78998</v>
      </c>
      <c r="I26" s="19" t="n">
        <v>60.75421</v>
      </c>
      <c r="J26" s="19" t="n">
        <v>56.04575</v>
      </c>
      <c r="K26" s="19" t="n">
        <v>40.12297</v>
      </c>
      <c r="L26" s="19" t="n">
        <v>27.31768</v>
      </c>
      <c r="M26" s="19" t="n">
        <v>20.82903</v>
      </c>
      <c r="N26" s="19" t="n">
        <v>18.70485</v>
      </c>
      <c r="O26" s="19" t="n">
        <v>32.35294</v>
      </c>
      <c r="P26" s="19" t="n">
        <v>30.41365</v>
      </c>
      <c r="Q26" s="19" t="n">
        <v>27.64017</v>
      </c>
      <c r="R26" s="19" t="n">
        <v>26.04059</v>
      </c>
      <c r="S26" s="19" t="n">
        <v>32.03044</v>
      </c>
      <c r="T26" s="19" t="n">
        <v>44.29824</v>
      </c>
      <c r="U26" s="19" t="n">
        <v>32.30564</v>
      </c>
      <c r="V26" s="19" t="n">
        <v>86.9066</v>
      </c>
      <c r="W26" s="19" t="n">
        <v>82.60663</v>
      </c>
      <c r="X26" s="19" t="n">
        <v>69.36704</v>
      </c>
      <c r="Y26" s="19" t="n">
        <v>100</v>
      </c>
      <c r="Z26" s="19" t="n">
        <v>62.96439</v>
      </c>
      <c r="AA26" s="19" t="n">
        <v>57.12504</v>
      </c>
      <c r="AB26" s="19" t="n">
        <v>64.31028000000001</v>
      </c>
      <c r="AC26" s="19" t="n">
        <v>75.23649</v>
      </c>
      <c r="AD26" s="19" t="n">
        <v>23.39181</v>
      </c>
      <c r="AE26" s="19" t="n">
        <v>32.40024</v>
      </c>
      <c r="AF26" s="19" t="n">
        <v>27.66167</v>
      </c>
      <c r="AG26" s="19" t="n">
        <v>30.56845</v>
      </c>
      <c r="AH26" s="19" t="n">
        <v>65.49276999999999</v>
      </c>
      <c r="AI26" s="19" t="n">
        <v>19.68094</v>
      </c>
      <c r="AJ26" s="19" t="n">
        <v>34.35242</v>
      </c>
      <c r="AK26" s="19" t="n">
        <v>32.03904</v>
      </c>
      <c r="AL26" s="19" t="n">
        <v>64.08668</v>
      </c>
      <c r="AM26" s="19" t="n">
        <v>70.04643</v>
      </c>
    </row>
    <row r="27">
      <c r="A27" s="3" t="inlineStr">
        <is>
          <t>R5</t>
        </is>
      </c>
      <c r="B27" s="3" t="inlineStr">
        <is>
          <t>인천치과</t>
        </is>
      </c>
      <c r="C27" s="18" t="inlineStr"/>
      <c r="D27" s="19" t="n">
        <v>23.22411</v>
      </c>
      <c r="E27" s="19" t="n">
        <v>32.99363</v>
      </c>
      <c r="F27" s="19" t="n">
        <v>34.54162</v>
      </c>
      <c r="G27" s="19" t="n">
        <v>31.20055</v>
      </c>
      <c r="H27" s="19" t="n">
        <v>22.76831</v>
      </c>
      <c r="I27" s="19" t="n">
        <v>25.95029</v>
      </c>
      <c r="J27" s="19" t="n">
        <v>19.83574</v>
      </c>
      <c r="K27" s="19" t="n">
        <v>25.40419</v>
      </c>
      <c r="L27" s="19" t="n">
        <v>31.55314</v>
      </c>
      <c r="M27" s="19" t="n">
        <v>22.73391</v>
      </c>
      <c r="N27" s="19" t="n">
        <v>22.42862</v>
      </c>
      <c r="O27" s="19" t="n">
        <v>21.49552</v>
      </c>
      <c r="P27" s="19" t="n">
        <v>16.62366</v>
      </c>
      <c r="Q27" s="19" t="n">
        <v>22.35982</v>
      </c>
      <c r="R27" s="19" t="n">
        <v>22.99621</v>
      </c>
      <c r="S27" s="19" t="n">
        <v>26.51358</v>
      </c>
      <c r="T27" s="19" t="n">
        <v>24.3378</v>
      </c>
      <c r="U27" s="19" t="n">
        <v>32.85603</v>
      </c>
      <c r="V27" s="19" t="n">
        <v>30.41795</v>
      </c>
      <c r="W27" s="19" t="n">
        <v>21.30632</v>
      </c>
      <c r="X27" s="19" t="n">
        <v>26.71138</v>
      </c>
      <c r="Y27" s="19" t="n">
        <v>34.92432</v>
      </c>
      <c r="Z27" s="19" t="n">
        <v>43.55005</v>
      </c>
      <c r="AA27" s="19" t="n">
        <v>28.14757</v>
      </c>
      <c r="AB27" s="19" t="n">
        <v>28.64207</v>
      </c>
      <c r="AC27" s="19" t="n">
        <v>22.58771</v>
      </c>
      <c r="AD27" s="19" t="n">
        <v>20.76453</v>
      </c>
      <c r="AE27" s="19" t="n">
        <v>32.69693</v>
      </c>
      <c r="AF27" s="19" t="n">
        <v>35.41021</v>
      </c>
      <c r="AG27" s="19" t="n">
        <v>14.39628</v>
      </c>
      <c r="AH27" s="19" t="n">
        <v>15.30787</v>
      </c>
      <c r="AI27" s="19" t="n">
        <v>13.51909</v>
      </c>
      <c r="AJ27" s="19" t="n">
        <v>18.88114</v>
      </c>
      <c r="AK27" s="19" t="n">
        <v>19.53474</v>
      </c>
      <c r="AL27" s="19" t="n">
        <v>24.5528</v>
      </c>
      <c r="AM27" s="19" t="n">
        <v>33.45803</v>
      </c>
    </row>
    <row r="28">
      <c r="A28" s="3" t="inlineStr">
        <is>
          <t>R5</t>
        </is>
      </c>
      <c r="B28" s="3" t="inlineStr">
        <is>
          <t>광주치과</t>
        </is>
      </c>
      <c r="C28" s="18" t="inlineStr"/>
      <c r="D28" s="19" t="n">
        <v>16.16787</v>
      </c>
      <c r="E28" s="19" t="n">
        <v>16.76556</v>
      </c>
      <c r="F28" s="19" t="n">
        <v>19.99484</v>
      </c>
      <c r="G28" s="19" t="n">
        <v>21.21603</v>
      </c>
      <c r="H28" s="19" t="n">
        <v>23.06071</v>
      </c>
      <c r="I28" s="19" t="n">
        <v>34.12022</v>
      </c>
      <c r="J28" s="19" t="n">
        <v>28.10027</v>
      </c>
      <c r="K28" s="19" t="n">
        <v>20.13673</v>
      </c>
      <c r="L28" s="19" t="n">
        <v>20.12383</v>
      </c>
      <c r="M28" s="19" t="n">
        <v>19.17354</v>
      </c>
      <c r="N28" s="19" t="n">
        <v>21.65892</v>
      </c>
      <c r="O28" s="19" t="n">
        <v>82.83883</v>
      </c>
      <c r="P28" s="19" t="n">
        <v>26.74148</v>
      </c>
      <c r="Q28" s="19" t="n">
        <v>25.70519</v>
      </c>
      <c r="R28" s="19" t="n">
        <v>23.8132</v>
      </c>
      <c r="S28" s="19" t="n">
        <v>25.87289</v>
      </c>
      <c r="T28" s="19" t="n">
        <v>37.3237</v>
      </c>
      <c r="U28" s="19" t="n">
        <v>40.14877</v>
      </c>
      <c r="V28" s="19" t="n">
        <v>30.78775</v>
      </c>
      <c r="W28" s="19" t="n">
        <v>25.71809</v>
      </c>
      <c r="X28" s="19" t="n">
        <v>36.9195</v>
      </c>
      <c r="Y28" s="19" t="n">
        <v>36.11111</v>
      </c>
      <c r="Z28" s="19" t="n">
        <v>21.78792</v>
      </c>
      <c r="AA28" s="19" t="n">
        <v>20.64843</v>
      </c>
      <c r="AB28" s="19" t="n">
        <v>24.6947</v>
      </c>
      <c r="AC28" s="19" t="n">
        <v>33.90522</v>
      </c>
      <c r="AD28" s="19" t="n">
        <v>28.78396</v>
      </c>
      <c r="AE28" s="19" t="n">
        <v>30.79635</v>
      </c>
      <c r="AF28" s="19" t="n">
        <v>19.34984</v>
      </c>
      <c r="AG28" s="19" t="n">
        <v>23.55521</v>
      </c>
      <c r="AH28" s="19" t="n">
        <v>24.3335</v>
      </c>
      <c r="AI28" s="19" t="n">
        <v>22.56621</v>
      </c>
      <c r="AJ28" s="19" t="n">
        <v>22.25232</v>
      </c>
      <c r="AK28" s="19" t="n">
        <v>17.52665</v>
      </c>
      <c r="AL28" s="19" t="n">
        <v>31.50584</v>
      </c>
      <c r="AM28" s="19" t="n">
        <v>25.38699</v>
      </c>
    </row>
    <row r="29">
      <c r="A29" s="3" t="inlineStr">
        <is>
          <t>R5</t>
        </is>
      </c>
      <c r="B29" s="3" t="inlineStr">
        <is>
          <t>대전치과</t>
        </is>
      </c>
      <c r="C29" s="18" t="inlineStr"/>
      <c r="D29" s="19" t="n">
        <v>23.38321</v>
      </c>
      <c r="E29" s="19" t="n">
        <v>31.48004</v>
      </c>
      <c r="F29" s="19" t="n">
        <v>35.60801</v>
      </c>
      <c r="G29" s="19" t="n">
        <v>28.19487</v>
      </c>
      <c r="H29" s="19" t="n">
        <v>31.57464</v>
      </c>
      <c r="I29" s="19" t="n">
        <v>37.68059</v>
      </c>
      <c r="J29" s="19" t="n">
        <v>43.24905</v>
      </c>
      <c r="K29" s="19" t="n">
        <v>33.09683</v>
      </c>
      <c r="L29" s="19" t="n">
        <v>31.60474</v>
      </c>
      <c r="M29" s="19" t="n">
        <v>32.79583</v>
      </c>
      <c r="N29" s="19" t="n">
        <v>34.52012</v>
      </c>
      <c r="O29" s="19" t="n">
        <v>45.46353</v>
      </c>
      <c r="P29" s="19" t="n">
        <v>37.1732</v>
      </c>
      <c r="Q29" s="19" t="n">
        <v>36.4938</v>
      </c>
      <c r="R29" s="19" t="n">
        <v>36.8163</v>
      </c>
      <c r="S29" s="19" t="n">
        <v>48.9035</v>
      </c>
      <c r="T29" s="19" t="n">
        <v>67.45356</v>
      </c>
      <c r="U29" s="19" t="n">
        <v>45.48073</v>
      </c>
      <c r="V29" s="19" t="n">
        <v>63.12349</v>
      </c>
      <c r="W29" s="19" t="n">
        <v>58.00653</v>
      </c>
      <c r="X29" s="19" t="n">
        <v>64.11248000000001</v>
      </c>
      <c r="Y29" s="19" t="n">
        <v>56.94874</v>
      </c>
      <c r="Z29" s="19" t="n">
        <v>58.64293</v>
      </c>
      <c r="AA29" s="19" t="n">
        <v>50.79979</v>
      </c>
      <c r="AB29" s="19" t="n">
        <v>53.99036</v>
      </c>
      <c r="AC29" s="19" t="n">
        <v>52.48968</v>
      </c>
      <c r="AD29" s="19" t="n">
        <v>49.312</v>
      </c>
      <c r="AE29" s="19" t="n">
        <v>47.45442</v>
      </c>
      <c r="AF29" s="19" t="n">
        <v>34.60182</v>
      </c>
      <c r="AG29" s="19" t="n">
        <v>31.10595</v>
      </c>
      <c r="AH29" s="19" t="n">
        <v>43.45975</v>
      </c>
      <c r="AI29" s="19" t="n">
        <v>31.58324</v>
      </c>
      <c r="AJ29" s="19" t="n">
        <v>37.3495</v>
      </c>
      <c r="AK29" s="19" t="n">
        <v>28.53887</v>
      </c>
      <c r="AL29" s="19" t="n">
        <v>39.30598</v>
      </c>
      <c r="AM29" s="19" t="n">
        <v>37.72359</v>
      </c>
    </row>
    <row r="30">
      <c r="A30" s="3" t="inlineStr">
        <is>
          <t>R6</t>
        </is>
      </c>
      <c r="B30" s="3" t="inlineStr">
        <is>
          <t>서울피부과</t>
        </is>
      </c>
      <c r="C30" s="18" t="inlineStr">
        <is>
          <t>앵커</t>
        </is>
      </c>
      <c r="D30" s="19" t="n">
        <v>19.31095</v>
      </c>
      <c r="E30" s="19" t="n">
        <v>20.40832</v>
      </c>
      <c r="F30" s="19" t="n">
        <v>17.02983</v>
      </c>
      <c r="G30" s="19" t="n">
        <v>17.24774</v>
      </c>
      <c r="H30" s="19" t="n">
        <v>20.39065</v>
      </c>
      <c r="I30" s="19" t="n">
        <v>20.31802</v>
      </c>
      <c r="J30" s="19" t="n">
        <v>20.12563</v>
      </c>
      <c r="K30" s="19" t="n">
        <v>19.69964</v>
      </c>
      <c r="L30" s="19" t="n">
        <v>20.69886</v>
      </c>
      <c r="M30" s="19" t="n">
        <v>19.05575</v>
      </c>
      <c r="N30" s="19" t="n">
        <v>22.32234</v>
      </c>
      <c r="O30" s="19" t="n">
        <v>22.36356</v>
      </c>
      <c r="P30" s="19" t="n">
        <v>19.9254</v>
      </c>
      <c r="Q30" s="19" t="n">
        <v>18.76325</v>
      </c>
      <c r="R30" s="19" t="n">
        <v>16.82764</v>
      </c>
      <c r="S30" s="19" t="n">
        <v>17.09658</v>
      </c>
      <c r="T30" s="19" t="n">
        <v>20.82449</v>
      </c>
      <c r="U30" s="19" t="n">
        <v>18.82606</v>
      </c>
      <c r="V30" s="19" t="n">
        <v>18.79073</v>
      </c>
      <c r="W30" s="19" t="n">
        <v>17.96427</v>
      </c>
      <c r="X30" s="19" t="n">
        <v>19.25206</v>
      </c>
      <c r="Y30" s="19" t="n">
        <v>18.61405</v>
      </c>
      <c r="Z30" s="19" t="n">
        <v>20.28072</v>
      </c>
      <c r="AA30" s="19" t="n">
        <v>20.36513</v>
      </c>
      <c r="AB30" s="19" t="n">
        <v>17.3243</v>
      </c>
      <c r="AC30" s="19" t="n">
        <v>19.00078</v>
      </c>
      <c r="AD30" s="19" t="n">
        <v>14.25009</v>
      </c>
      <c r="AE30" s="19" t="n">
        <v>15.63407</v>
      </c>
      <c r="AF30" s="19" t="n">
        <v>16.8826</v>
      </c>
      <c r="AG30" s="19" t="n">
        <v>15.8932</v>
      </c>
      <c r="AH30" s="19" t="n">
        <v>15.55162</v>
      </c>
      <c r="AI30" s="19" t="n">
        <v>15.48881</v>
      </c>
      <c r="AJ30" s="19" t="n">
        <v>16.01884</v>
      </c>
      <c r="AK30" s="19" t="n">
        <v>15.59285</v>
      </c>
      <c r="AL30" s="19" t="n">
        <v>16.86886</v>
      </c>
      <c r="AM30" s="19" t="n">
        <v>16.86101</v>
      </c>
    </row>
    <row r="31">
      <c r="A31" s="3" t="inlineStr">
        <is>
          <t>R6</t>
        </is>
      </c>
      <c r="B31" s="3" t="inlineStr">
        <is>
          <t>울산치과</t>
        </is>
      </c>
      <c r="C31" s="18" t="inlineStr"/>
      <c r="D31" s="19" t="n">
        <v>10.43776</v>
      </c>
      <c r="E31" s="19" t="n">
        <v>14.21083</v>
      </c>
      <c r="F31" s="19" t="n">
        <v>17.08676</v>
      </c>
      <c r="G31" s="19" t="n">
        <v>13.98115</v>
      </c>
      <c r="H31" s="19" t="n">
        <v>11.41146</v>
      </c>
      <c r="I31" s="19" t="n">
        <v>12.38908</v>
      </c>
      <c r="J31" s="19" t="n">
        <v>35.20416</v>
      </c>
      <c r="K31" s="19" t="n">
        <v>24.1539</v>
      </c>
      <c r="L31" s="19" t="n">
        <v>17.3989</v>
      </c>
      <c r="M31" s="19" t="n">
        <v>13.53356</v>
      </c>
      <c r="N31" s="19" t="n">
        <v>14.98036</v>
      </c>
      <c r="O31" s="19" t="n">
        <v>12.85237</v>
      </c>
      <c r="P31" s="19" t="n">
        <v>10.09422</v>
      </c>
      <c r="Q31" s="19" t="n">
        <v>12.01217</v>
      </c>
      <c r="R31" s="19" t="n">
        <v>10.70278</v>
      </c>
      <c r="S31" s="19" t="n">
        <v>8.98704</v>
      </c>
      <c r="T31" s="19" t="n">
        <v>11.83352</v>
      </c>
      <c r="U31" s="19" t="n">
        <v>25.42795</v>
      </c>
      <c r="V31" s="19" t="n">
        <v>34.34628</v>
      </c>
      <c r="W31" s="19" t="n">
        <v>41.87475</v>
      </c>
      <c r="X31" s="19" t="n">
        <v>28.87514</v>
      </c>
      <c r="Y31" s="19" t="n">
        <v>18.10561</v>
      </c>
      <c r="Z31" s="19" t="n">
        <v>27.20848</v>
      </c>
      <c r="AA31" s="19" t="n">
        <v>19.60149</v>
      </c>
      <c r="AB31" s="19" t="n">
        <v>15.11189</v>
      </c>
      <c r="AC31" s="19" t="n">
        <v>15.61248</v>
      </c>
      <c r="AD31" s="19" t="n">
        <v>11.39183</v>
      </c>
      <c r="AE31" s="19" t="n">
        <v>13.28621</v>
      </c>
      <c r="AF31" s="19" t="n">
        <v>13.96152</v>
      </c>
      <c r="AG31" s="19" t="n">
        <v>11.32901</v>
      </c>
      <c r="AH31" s="19" t="n">
        <v>11.9729</v>
      </c>
      <c r="AI31" s="19" t="n">
        <v>10.61248</v>
      </c>
      <c r="AJ31" s="19" t="n">
        <v>17.22418</v>
      </c>
      <c r="AK31" s="19" t="n">
        <v>8.78877</v>
      </c>
      <c r="AL31" s="19" t="n">
        <v>8.749499999999999</v>
      </c>
      <c r="AM31" s="19" t="n">
        <v>14.64468</v>
      </c>
    </row>
    <row r="32">
      <c r="A32" s="3" t="inlineStr">
        <is>
          <t>R6</t>
        </is>
      </c>
      <c r="B32" s="3" t="inlineStr">
        <is>
          <t>수원치과</t>
        </is>
      </c>
      <c r="C32" s="18" t="inlineStr"/>
      <c r="D32" s="19" t="n">
        <v>14.30899</v>
      </c>
      <c r="E32" s="19" t="n">
        <v>17.13977</v>
      </c>
      <c r="F32" s="19" t="n">
        <v>27.54809</v>
      </c>
      <c r="G32" s="19" t="n">
        <v>27.56576</v>
      </c>
      <c r="H32" s="19" t="n">
        <v>36.71181</v>
      </c>
      <c r="I32" s="19" t="n">
        <v>26.2446</v>
      </c>
      <c r="J32" s="19" t="n">
        <v>32.69532</v>
      </c>
      <c r="K32" s="19" t="n">
        <v>29.33451</v>
      </c>
      <c r="L32" s="19" t="n">
        <v>25.12956</v>
      </c>
      <c r="M32" s="19" t="n">
        <v>32.32822</v>
      </c>
      <c r="N32" s="19" t="n">
        <v>51.01491</v>
      </c>
      <c r="O32" s="19" t="n">
        <v>21.77856</v>
      </c>
      <c r="P32" s="19" t="n">
        <v>17.00039</v>
      </c>
      <c r="Q32" s="19" t="n">
        <v>13.58853</v>
      </c>
      <c r="R32" s="19" t="n">
        <v>13.91244</v>
      </c>
      <c r="S32" s="19" t="n">
        <v>14.69768</v>
      </c>
      <c r="T32" s="19" t="n">
        <v>31.3506</v>
      </c>
      <c r="U32" s="19" t="n">
        <v>35.17275</v>
      </c>
      <c r="V32" s="19" t="n">
        <v>37.72281</v>
      </c>
      <c r="W32" s="19" t="n">
        <v>32.04554</v>
      </c>
      <c r="X32" s="19" t="n">
        <v>34.02434</v>
      </c>
      <c r="Y32" s="19" t="n">
        <v>26.37416</v>
      </c>
      <c r="Z32" s="19" t="n">
        <v>49.23439</v>
      </c>
      <c r="AA32" s="19" t="n">
        <v>40.30427</v>
      </c>
      <c r="AB32" s="19" t="n">
        <v>43.8987</v>
      </c>
      <c r="AC32" s="19" t="n">
        <v>38.17824</v>
      </c>
      <c r="AD32" s="19" t="n">
        <v>17.11228</v>
      </c>
      <c r="AE32" s="19" t="n">
        <v>27.00824</v>
      </c>
      <c r="AF32" s="19" t="n">
        <v>21.63133</v>
      </c>
      <c r="AG32" s="19" t="n">
        <v>11.43305</v>
      </c>
      <c r="AH32" s="19" t="n">
        <v>31.96702</v>
      </c>
      <c r="AI32" s="19" t="n">
        <v>17.08676</v>
      </c>
      <c r="AJ32" s="19" t="n">
        <v>24.25402</v>
      </c>
      <c r="AK32" s="19" t="n">
        <v>26.15822</v>
      </c>
      <c r="AL32" s="19" t="n">
        <v>40.62819</v>
      </c>
      <c r="AM32" s="19" t="n">
        <v>44.89791</v>
      </c>
    </row>
    <row r="33">
      <c r="A33" s="3" t="inlineStr">
        <is>
          <t>R6</t>
        </is>
      </c>
      <c r="B33" s="3" t="inlineStr">
        <is>
          <t>천안치과</t>
        </is>
      </c>
      <c r="C33" s="18" t="inlineStr"/>
      <c r="D33" s="19" t="n">
        <v>9.471920000000001</v>
      </c>
      <c r="E33" s="19" t="n">
        <v>10.46525</v>
      </c>
      <c r="F33" s="19" t="n">
        <v>9.556340000000001</v>
      </c>
      <c r="G33" s="19" t="n">
        <v>10.52807</v>
      </c>
      <c r="H33" s="19" t="n">
        <v>12.87985</v>
      </c>
      <c r="I33" s="19" t="n">
        <v>16.73144</v>
      </c>
      <c r="J33" s="19" t="n">
        <v>15.80879</v>
      </c>
      <c r="K33" s="19" t="n">
        <v>19.99411</v>
      </c>
      <c r="L33" s="19" t="n">
        <v>17.70318</v>
      </c>
      <c r="M33" s="19" t="n">
        <v>16.42913</v>
      </c>
      <c r="N33" s="19" t="n">
        <v>16.88457</v>
      </c>
      <c r="O33" s="19" t="n">
        <v>11.12092</v>
      </c>
      <c r="P33" s="19" t="n">
        <v>10.49469</v>
      </c>
      <c r="Q33" s="19" t="n">
        <v>10.63604</v>
      </c>
      <c r="R33" s="19" t="n">
        <v>9.886139999999999</v>
      </c>
      <c r="S33" s="19" t="n">
        <v>19.24028</v>
      </c>
      <c r="T33" s="19" t="n">
        <v>19.93718</v>
      </c>
      <c r="U33" s="19" t="n">
        <v>34.24617</v>
      </c>
      <c r="V33" s="19" t="n">
        <v>23.19984</v>
      </c>
      <c r="W33" s="19" t="n">
        <v>18.41774</v>
      </c>
      <c r="X33" s="19" t="n">
        <v>29.06753</v>
      </c>
      <c r="Y33" s="19" t="n">
        <v>27.56772</v>
      </c>
      <c r="Z33" s="19" t="n">
        <v>83.75932</v>
      </c>
      <c r="AA33" s="19" t="n">
        <v>74.36002999999999</v>
      </c>
      <c r="AB33" s="19" t="n">
        <v>34.34432</v>
      </c>
      <c r="AC33" s="19" t="n">
        <v>19.95484</v>
      </c>
      <c r="AD33" s="19" t="n">
        <v>12.25559</v>
      </c>
      <c r="AE33" s="19" t="n">
        <v>15.71652</v>
      </c>
      <c r="AF33" s="19" t="n">
        <v>14.35414</v>
      </c>
      <c r="AG33" s="19" t="n">
        <v>12.60895</v>
      </c>
      <c r="AH33" s="19" t="n">
        <v>14.82332</v>
      </c>
      <c r="AI33" s="19" t="n">
        <v>17.66588</v>
      </c>
      <c r="AJ33" s="19" t="n">
        <v>16.39968</v>
      </c>
      <c r="AK33" s="19" t="n">
        <v>12.49509</v>
      </c>
      <c r="AL33" s="19" t="n">
        <v>12.35178</v>
      </c>
      <c r="AM33" s="19" t="n">
        <v>10.63407</v>
      </c>
    </row>
    <row r="34">
      <c r="A34" s="3" t="inlineStr">
        <is>
          <t>R6</t>
        </is>
      </c>
      <c r="B34" s="3" t="inlineStr">
        <is>
          <t>청주치과</t>
        </is>
      </c>
      <c r="C34" s="18" t="inlineStr"/>
      <c r="D34" s="19" t="n">
        <v>14.25795</v>
      </c>
      <c r="E34" s="19" t="n">
        <v>20.84609</v>
      </c>
      <c r="F34" s="19" t="n">
        <v>16.93168</v>
      </c>
      <c r="G34" s="19" t="n">
        <v>13.55516</v>
      </c>
      <c r="H34" s="19" t="n">
        <v>15.23949</v>
      </c>
      <c r="I34" s="19" t="n">
        <v>16.84727</v>
      </c>
      <c r="J34" s="19" t="n">
        <v>15.16686</v>
      </c>
      <c r="K34" s="19" t="n">
        <v>15.0687</v>
      </c>
      <c r="L34" s="19" t="n">
        <v>32.38319</v>
      </c>
      <c r="M34" s="19" t="n">
        <v>13.85944</v>
      </c>
      <c r="N34" s="19" t="n">
        <v>12.20062</v>
      </c>
      <c r="O34" s="19" t="n">
        <v>16.23478</v>
      </c>
      <c r="P34" s="19" t="n">
        <v>22.68551</v>
      </c>
      <c r="Q34" s="19" t="n">
        <v>15.48488</v>
      </c>
      <c r="R34" s="19" t="n">
        <v>15.84609</v>
      </c>
      <c r="S34" s="19" t="n">
        <v>31.28386</v>
      </c>
      <c r="T34" s="19" t="n">
        <v>33.42756</v>
      </c>
      <c r="U34" s="19" t="n">
        <v>32.25166</v>
      </c>
      <c r="V34" s="19" t="n">
        <v>56.60188</v>
      </c>
      <c r="W34" s="19" t="n">
        <v>41.81782</v>
      </c>
      <c r="X34" s="19" t="n">
        <v>68.85551</v>
      </c>
      <c r="Y34" s="19" t="n">
        <v>48.01138</v>
      </c>
      <c r="Z34" s="19" t="n">
        <v>100</v>
      </c>
      <c r="AA34" s="19" t="n">
        <v>61.10522</v>
      </c>
      <c r="AB34" s="19" t="n">
        <v>39.62897</v>
      </c>
      <c r="AC34" s="19" t="n">
        <v>29.39929</v>
      </c>
      <c r="AD34" s="19" t="n">
        <v>13.50019</v>
      </c>
      <c r="AE34" s="19" t="n">
        <v>19.0106</v>
      </c>
      <c r="AF34" s="19" t="n">
        <v>18.26069</v>
      </c>
      <c r="AG34" s="19" t="n">
        <v>22.44208</v>
      </c>
      <c r="AH34" s="19" t="n">
        <v>22.35767</v>
      </c>
      <c r="AI34" s="19" t="n">
        <v>8.58264</v>
      </c>
      <c r="AJ34" s="19" t="n">
        <v>19.86454</v>
      </c>
      <c r="AK34" s="19" t="n">
        <v>22.64428</v>
      </c>
      <c r="AL34" s="19" t="n">
        <v>21.76285</v>
      </c>
      <c r="AM34" s="19" t="n">
        <v>19.45622</v>
      </c>
    </row>
    <row r="35">
      <c r="A35" s="3" t="inlineStr">
        <is>
          <t>R7</t>
        </is>
      </c>
      <c r="B35" s="3" t="inlineStr">
        <is>
          <t>서울피부과</t>
        </is>
      </c>
      <c r="C35" s="18" t="inlineStr">
        <is>
          <t>앵커</t>
        </is>
      </c>
      <c r="D35" s="19" t="n">
        <v>40.70595</v>
      </c>
      <c r="E35" s="19" t="n">
        <v>43.01911</v>
      </c>
      <c r="F35" s="19" t="n">
        <v>35.89754</v>
      </c>
      <c r="G35" s="19" t="n">
        <v>36.35686</v>
      </c>
      <c r="H35" s="19" t="n">
        <v>42.98187</v>
      </c>
      <c r="I35" s="19" t="n">
        <v>42.82876</v>
      </c>
      <c r="J35" s="19" t="n">
        <v>42.42323</v>
      </c>
      <c r="K35" s="19" t="n">
        <v>41.52528</v>
      </c>
      <c r="L35" s="19" t="n">
        <v>43.63154</v>
      </c>
      <c r="M35" s="19" t="n">
        <v>40.168</v>
      </c>
      <c r="N35" s="19" t="n">
        <v>47.05371</v>
      </c>
      <c r="O35" s="19" t="n">
        <v>47.14061</v>
      </c>
      <c r="P35" s="19" t="n">
        <v>42.00115</v>
      </c>
      <c r="Q35" s="19" t="n">
        <v>39.55143</v>
      </c>
      <c r="R35" s="19" t="n">
        <v>35.47132</v>
      </c>
      <c r="S35" s="19" t="n">
        <v>36.03823</v>
      </c>
      <c r="T35" s="19" t="n">
        <v>43.89638</v>
      </c>
      <c r="U35" s="19" t="n">
        <v>39.68385</v>
      </c>
      <c r="V35" s="19" t="n">
        <v>39.60936</v>
      </c>
      <c r="W35" s="19" t="n">
        <v>37.86725</v>
      </c>
      <c r="X35" s="19" t="n">
        <v>40.5818</v>
      </c>
      <c r="Y35" s="19" t="n">
        <v>39.23694</v>
      </c>
      <c r="Z35" s="19" t="n">
        <v>42.75014</v>
      </c>
      <c r="AA35" s="19" t="n">
        <v>42.92808</v>
      </c>
      <c r="AB35" s="19" t="n">
        <v>36.51824</v>
      </c>
      <c r="AC35" s="19" t="n">
        <v>40.05213</v>
      </c>
      <c r="AD35" s="19" t="n">
        <v>30.03807</v>
      </c>
      <c r="AE35" s="19" t="n">
        <v>32.95539</v>
      </c>
      <c r="AF35" s="19" t="n">
        <v>35.58718</v>
      </c>
      <c r="AG35" s="19" t="n">
        <v>33.50161</v>
      </c>
      <c r="AH35" s="19" t="n">
        <v>32.78159</v>
      </c>
      <c r="AI35" s="19" t="n">
        <v>32.64917</v>
      </c>
      <c r="AJ35" s="19" t="n">
        <v>33.76644</v>
      </c>
      <c r="AK35" s="19" t="n">
        <v>32.86849</v>
      </c>
      <c r="AL35" s="19" t="n">
        <v>35.55822</v>
      </c>
      <c r="AM35" s="19" t="n">
        <v>35.54167</v>
      </c>
    </row>
    <row r="36">
      <c r="A36" s="3" t="inlineStr">
        <is>
          <t>R7</t>
        </is>
      </c>
      <c r="B36" s="3" t="inlineStr">
        <is>
          <t>부산성형외과</t>
        </is>
      </c>
      <c r="C36" s="18" t="inlineStr"/>
      <c r="D36" s="19" t="n">
        <v>15.26524</v>
      </c>
      <c r="E36" s="19" t="n">
        <v>15.17834</v>
      </c>
      <c r="F36" s="19" t="n">
        <v>18.12877</v>
      </c>
      <c r="G36" s="19" t="n">
        <v>20.64056</v>
      </c>
      <c r="H36" s="19" t="n">
        <v>35.70719</v>
      </c>
      <c r="I36" s="19" t="n">
        <v>20.00744</v>
      </c>
      <c r="J36" s="19" t="n">
        <v>18.93569</v>
      </c>
      <c r="K36" s="19" t="n">
        <v>30.36497</v>
      </c>
      <c r="L36" s="19" t="n">
        <v>20.13158</v>
      </c>
      <c r="M36" s="19" t="n">
        <v>17.53289</v>
      </c>
      <c r="N36" s="19" t="n">
        <v>16.82529</v>
      </c>
      <c r="O36" s="19" t="n">
        <v>17.7191</v>
      </c>
      <c r="P36" s="19" t="n">
        <v>18.76603</v>
      </c>
      <c r="Q36" s="19" t="n">
        <v>15.88181</v>
      </c>
      <c r="R36" s="19" t="n">
        <v>16.89563</v>
      </c>
      <c r="S36" s="19" t="n">
        <v>18.16601</v>
      </c>
      <c r="T36" s="19" t="n">
        <v>38.95141</v>
      </c>
      <c r="U36" s="19" t="n">
        <v>44.78606</v>
      </c>
      <c r="V36" s="19" t="n">
        <v>25.02275</v>
      </c>
      <c r="W36" s="19" t="n">
        <v>39.21625</v>
      </c>
      <c r="X36" s="19" t="n">
        <v>37.55276</v>
      </c>
      <c r="Y36" s="19" t="n">
        <v>45.40676</v>
      </c>
      <c r="Z36" s="19" t="n">
        <v>44.15708</v>
      </c>
      <c r="AA36" s="19" t="n">
        <v>44.15708</v>
      </c>
      <c r="AB36" s="19" t="n">
        <v>60.14234</v>
      </c>
      <c r="AC36" s="19" t="n">
        <v>49.47446</v>
      </c>
      <c r="AD36" s="19" t="n">
        <v>38.96797</v>
      </c>
      <c r="AE36" s="19" t="n">
        <v>33.68782</v>
      </c>
      <c r="AF36" s="19" t="n">
        <v>22.92477</v>
      </c>
      <c r="AG36" s="19" t="n">
        <v>21.11644</v>
      </c>
      <c r="AH36" s="19" t="n">
        <v>23.94272</v>
      </c>
      <c r="AI36" s="19" t="n">
        <v>25.37863</v>
      </c>
      <c r="AJ36" s="19" t="n">
        <v>24.2117</v>
      </c>
      <c r="AK36" s="19" t="n">
        <v>29.36356</v>
      </c>
      <c r="AL36" s="19" t="n">
        <v>63.83762</v>
      </c>
      <c r="AM36" s="19" t="n">
        <v>55.97947</v>
      </c>
    </row>
    <row r="37">
      <c r="A37" s="3" t="inlineStr">
        <is>
          <t>R7</t>
        </is>
      </c>
      <c r="B37" s="3" t="inlineStr">
        <is>
          <t>대구성형외과</t>
        </is>
      </c>
      <c r="C37" s="18" t="inlineStr"/>
      <c r="D37" s="19" t="n">
        <v>38.71968</v>
      </c>
      <c r="E37" s="19" t="n">
        <v>34.76371</v>
      </c>
      <c r="F37" s="19" t="n">
        <v>40.33766</v>
      </c>
      <c r="G37" s="19" t="n">
        <v>40.74733</v>
      </c>
      <c r="H37" s="19" t="n">
        <v>43.34602</v>
      </c>
      <c r="I37" s="19" t="n">
        <v>34.37474</v>
      </c>
      <c r="J37" s="19" t="n">
        <v>33.30298</v>
      </c>
      <c r="K37" s="19" t="n">
        <v>29.31391</v>
      </c>
      <c r="L37" s="19" t="n">
        <v>32.41744</v>
      </c>
      <c r="M37" s="19" t="n">
        <v>32.51675</v>
      </c>
      <c r="N37" s="19" t="n">
        <v>32.08226</v>
      </c>
      <c r="O37" s="19" t="n">
        <v>36.24927</v>
      </c>
      <c r="P37" s="19" t="n">
        <v>38.78589</v>
      </c>
      <c r="Q37" s="19" t="n">
        <v>36.94032</v>
      </c>
      <c r="R37" s="19" t="n">
        <v>43.19705</v>
      </c>
      <c r="S37" s="19" t="n">
        <v>51.58487</v>
      </c>
      <c r="T37" s="19" t="n">
        <v>62.40999</v>
      </c>
      <c r="U37" s="19" t="n">
        <v>70.16883</v>
      </c>
      <c r="V37" s="19" t="n">
        <v>48.87031</v>
      </c>
      <c r="W37" s="19" t="n">
        <v>37.61069</v>
      </c>
      <c r="X37" s="19" t="n">
        <v>45.24538</v>
      </c>
      <c r="Y37" s="19" t="n">
        <v>79.58702</v>
      </c>
      <c r="Z37" s="19" t="n">
        <v>52.01108</v>
      </c>
      <c r="AA37" s="19" t="n">
        <v>75.11378999999999</v>
      </c>
      <c r="AB37" s="19" t="n">
        <v>52.83869</v>
      </c>
      <c r="AC37" s="19" t="n">
        <v>50.01655</v>
      </c>
      <c r="AD37" s="19" t="n">
        <v>35.15683</v>
      </c>
      <c r="AE37" s="19" t="n">
        <v>38.48382</v>
      </c>
      <c r="AF37" s="19" t="n">
        <v>56.43879</v>
      </c>
      <c r="AG37" s="19" t="n">
        <v>49.85103</v>
      </c>
      <c r="AH37" s="19" t="n">
        <v>100</v>
      </c>
      <c r="AI37" s="19" t="n">
        <v>56.74501</v>
      </c>
      <c r="AJ37" s="19" t="n">
        <v>29.18977</v>
      </c>
      <c r="AK37" s="19" t="n">
        <v>28.41595</v>
      </c>
      <c r="AL37" s="19" t="n">
        <v>46.59438</v>
      </c>
      <c r="AM37" s="19" t="n">
        <v>44.3226</v>
      </c>
    </row>
    <row r="38">
      <c r="A38" s="3" t="inlineStr">
        <is>
          <t>R7</t>
        </is>
      </c>
      <c r="B38" s="3" t="inlineStr">
        <is>
          <t>인천성형외과</t>
        </is>
      </c>
      <c r="C38" s="18" t="inlineStr"/>
      <c r="D38" s="19" t="n">
        <v>9.025069999999999</v>
      </c>
      <c r="E38" s="19" t="n">
        <v>9.94786</v>
      </c>
      <c r="F38" s="19" t="n">
        <v>11.31341</v>
      </c>
      <c r="G38" s="19" t="n">
        <v>14.54936</v>
      </c>
      <c r="H38" s="19" t="n">
        <v>12.25688</v>
      </c>
      <c r="I38" s="19" t="n">
        <v>8.247120000000001</v>
      </c>
      <c r="J38" s="19" t="n">
        <v>7.97815</v>
      </c>
      <c r="K38" s="19" t="n">
        <v>14.13556</v>
      </c>
      <c r="L38" s="19" t="n">
        <v>39.5266</v>
      </c>
      <c r="M38" s="19" t="n">
        <v>27.03384</v>
      </c>
      <c r="N38" s="19" t="n">
        <v>13.84176</v>
      </c>
      <c r="O38" s="19" t="n">
        <v>13.63899</v>
      </c>
      <c r="P38" s="19" t="n">
        <v>15.67905</v>
      </c>
      <c r="Q38" s="19" t="n">
        <v>9.289910000000001</v>
      </c>
      <c r="R38" s="19" t="n">
        <v>12.23619</v>
      </c>
      <c r="S38" s="19" t="n">
        <v>13.68037</v>
      </c>
      <c r="T38" s="19" t="n">
        <v>24.54274</v>
      </c>
      <c r="U38" s="19" t="n">
        <v>34.46164</v>
      </c>
      <c r="V38" s="19" t="n">
        <v>21.36058</v>
      </c>
      <c r="W38" s="19" t="n">
        <v>28.98286</v>
      </c>
      <c r="X38" s="19" t="n">
        <v>19.27087</v>
      </c>
      <c r="Y38" s="19" t="n">
        <v>29.47529</v>
      </c>
      <c r="Z38" s="19" t="n">
        <v>27.23661</v>
      </c>
      <c r="AA38" s="19" t="n">
        <v>61.76032</v>
      </c>
      <c r="AB38" s="19" t="n">
        <v>20.72746</v>
      </c>
      <c r="AC38" s="19" t="n">
        <v>11.97136</v>
      </c>
      <c r="AD38" s="19" t="n">
        <v>7.38227</v>
      </c>
      <c r="AE38" s="19" t="n">
        <v>9.94786</v>
      </c>
      <c r="AF38" s="19" t="n">
        <v>8.54092</v>
      </c>
      <c r="AG38" s="19" t="n">
        <v>6.36431</v>
      </c>
      <c r="AH38" s="19" t="n">
        <v>11.7686</v>
      </c>
      <c r="AI38" s="19" t="n">
        <v>10.99892</v>
      </c>
      <c r="AJ38" s="19" t="n">
        <v>7.84159</v>
      </c>
      <c r="AK38" s="19" t="n">
        <v>9.19059</v>
      </c>
      <c r="AL38" s="19" t="n">
        <v>9.157489999999999</v>
      </c>
      <c r="AM38" s="19" t="n">
        <v>9.095420000000001</v>
      </c>
    </row>
    <row r="39">
      <c r="A39" s="3" t="inlineStr">
        <is>
          <t>R7</t>
        </is>
      </c>
      <c r="B39" s="3" t="inlineStr">
        <is>
          <t>대전성형외과</t>
        </is>
      </c>
      <c r="C39" s="18" t="inlineStr"/>
      <c r="D39" s="19" t="n">
        <v>14.11073</v>
      </c>
      <c r="E39" s="19" t="n">
        <v>14.53695</v>
      </c>
      <c r="F39" s="19" t="n">
        <v>15.89836</v>
      </c>
      <c r="G39" s="19" t="n">
        <v>17.55358</v>
      </c>
      <c r="H39" s="19" t="n">
        <v>17.69014</v>
      </c>
      <c r="I39" s="19" t="n">
        <v>14.85558</v>
      </c>
      <c r="J39" s="19" t="n">
        <v>14.38384</v>
      </c>
      <c r="K39" s="19" t="n">
        <v>12.90242</v>
      </c>
      <c r="L39" s="19" t="n">
        <v>11.92998</v>
      </c>
      <c r="M39" s="19" t="n">
        <v>12.90656</v>
      </c>
      <c r="N39" s="19" t="n">
        <v>18.73706</v>
      </c>
      <c r="O39" s="19" t="n">
        <v>18.52189</v>
      </c>
      <c r="P39" s="19" t="n">
        <v>20.27642</v>
      </c>
      <c r="Q39" s="19" t="n">
        <v>18.63361</v>
      </c>
      <c r="R39" s="19" t="n">
        <v>19.39501</v>
      </c>
      <c r="S39" s="19" t="n">
        <v>20.28055</v>
      </c>
      <c r="T39" s="19" t="n">
        <v>22.25026</v>
      </c>
      <c r="U39" s="19" t="n">
        <v>16.92874</v>
      </c>
      <c r="V39" s="19" t="n">
        <v>28.22146</v>
      </c>
      <c r="W39" s="19" t="n">
        <v>23.66548</v>
      </c>
      <c r="X39" s="19" t="n">
        <v>23.70272</v>
      </c>
      <c r="Y39" s="19" t="n">
        <v>19.08052</v>
      </c>
      <c r="Z39" s="19" t="n">
        <v>29.1939</v>
      </c>
      <c r="AA39" s="19" t="n">
        <v>22.24199</v>
      </c>
      <c r="AB39" s="19" t="n">
        <v>23.44616</v>
      </c>
      <c r="AC39" s="19" t="n">
        <v>23.24339</v>
      </c>
      <c r="AD39" s="19" t="n">
        <v>25.10552</v>
      </c>
      <c r="AE39" s="19" t="n">
        <v>28.44078</v>
      </c>
      <c r="AF39" s="19" t="n">
        <v>33.32781</v>
      </c>
      <c r="AG39" s="19" t="n">
        <v>19.21708</v>
      </c>
      <c r="AH39" s="19" t="n">
        <v>21.34403</v>
      </c>
      <c r="AI39" s="19" t="n">
        <v>16.63907</v>
      </c>
      <c r="AJ39" s="19" t="n">
        <v>18.77017</v>
      </c>
      <c r="AK39" s="19" t="n">
        <v>15.84457</v>
      </c>
      <c r="AL39" s="19" t="n">
        <v>15.49697</v>
      </c>
      <c r="AM39" s="19" t="n">
        <v>15.228</v>
      </c>
    </row>
    <row r="40">
      <c r="A40" s="3" t="inlineStr">
        <is>
          <t>R8</t>
        </is>
      </c>
      <c r="B40" s="3" t="inlineStr">
        <is>
          <t>서울피부과</t>
        </is>
      </c>
      <c r="C40" s="18" t="inlineStr">
        <is>
          <t>앵커</t>
        </is>
      </c>
      <c r="D40" s="19" t="n">
        <v>51.2237</v>
      </c>
      <c r="E40" s="19" t="n">
        <v>54.13455</v>
      </c>
      <c r="F40" s="19" t="n">
        <v>45.17288</v>
      </c>
      <c r="G40" s="19" t="n">
        <v>45.75088</v>
      </c>
      <c r="H40" s="19" t="n">
        <v>54.08769</v>
      </c>
      <c r="I40" s="19" t="n">
        <v>53.89502</v>
      </c>
      <c r="J40" s="19" t="n">
        <v>53.38471</v>
      </c>
      <c r="K40" s="19" t="n">
        <v>52.25473</v>
      </c>
      <c r="L40" s="19" t="n">
        <v>54.90522</v>
      </c>
      <c r="M40" s="19" t="n">
        <v>50.54676</v>
      </c>
      <c r="N40" s="19" t="n">
        <v>59.21162</v>
      </c>
      <c r="O40" s="19" t="n">
        <v>59.32097</v>
      </c>
      <c r="P40" s="19" t="n">
        <v>52.85357</v>
      </c>
      <c r="Q40" s="19" t="n">
        <v>49.77088</v>
      </c>
      <c r="R40" s="19" t="n">
        <v>44.63653</v>
      </c>
      <c r="S40" s="19" t="n">
        <v>45.34992</v>
      </c>
      <c r="T40" s="19" t="n">
        <v>55.23849</v>
      </c>
      <c r="U40" s="19" t="n">
        <v>49.93751</v>
      </c>
      <c r="V40" s="19" t="n">
        <v>49.84378</v>
      </c>
      <c r="W40" s="19" t="n">
        <v>47.65153</v>
      </c>
      <c r="X40" s="19" t="n">
        <v>51.06748</v>
      </c>
      <c r="Y40" s="19" t="n">
        <v>49.37513</v>
      </c>
      <c r="Z40" s="19" t="n">
        <v>53.79608</v>
      </c>
      <c r="AA40" s="19" t="n">
        <v>54.01999</v>
      </c>
      <c r="AB40" s="19" t="n">
        <v>45.95396</v>
      </c>
      <c r="AC40" s="19" t="n">
        <v>50.40095</v>
      </c>
      <c r="AD40" s="19" t="n">
        <v>37.79941</v>
      </c>
      <c r="AE40" s="19" t="n">
        <v>41.47052</v>
      </c>
      <c r="AF40" s="19" t="n">
        <v>44.78233</v>
      </c>
      <c r="AG40" s="19" t="n">
        <v>42.15788</v>
      </c>
      <c r="AH40" s="19" t="n">
        <v>41.25182</v>
      </c>
      <c r="AI40" s="19" t="n">
        <v>41.08519</v>
      </c>
      <c r="AJ40" s="19" t="n">
        <v>42.49114</v>
      </c>
      <c r="AK40" s="19" t="n">
        <v>41.36117</v>
      </c>
      <c r="AL40" s="19" t="n">
        <v>44.74588</v>
      </c>
      <c r="AM40" s="19" t="n">
        <v>44.72505</v>
      </c>
    </row>
    <row r="41">
      <c r="A41" s="3" t="inlineStr">
        <is>
          <t>R8</t>
        </is>
      </c>
      <c r="B41" s="3" t="inlineStr">
        <is>
          <t>부산한의원</t>
        </is>
      </c>
      <c r="C41" s="18" t="inlineStr"/>
      <c r="D41" s="19" t="n">
        <v>19.74067</v>
      </c>
      <c r="E41" s="19" t="n">
        <v>54.83753</v>
      </c>
      <c r="F41" s="19" t="n">
        <v>17.34013</v>
      </c>
      <c r="G41" s="19" t="n">
        <v>11.36221</v>
      </c>
      <c r="H41" s="19" t="n">
        <v>11.67465</v>
      </c>
      <c r="I41" s="19" t="n">
        <v>12.19016</v>
      </c>
      <c r="J41" s="19" t="n">
        <v>42.55363</v>
      </c>
      <c r="K41" s="19" t="n">
        <v>44.17829</v>
      </c>
      <c r="L41" s="19" t="n">
        <v>35.73213</v>
      </c>
      <c r="M41" s="19" t="n">
        <v>36.44553</v>
      </c>
      <c r="N41" s="19" t="n">
        <v>31.759</v>
      </c>
      <c r="O41" s="19" t="n">
        <v>21.38616</v>
      </c>
      <c r="P41" s="19" t="n">
        <v>16.59029</v>
      </c>
      <c r="Q41" s="19" t="n">
        <v>13.38262</v>
      </c>
      <c r="R41" s="19" t="n">
        <v>13.52843</v>
      </c>
      <c r="S41" s="19" t="n">
        <v>13.11705</v>
      </c>
      <c r="T41" s="19" t="n">
        <v>12.49218</v>
      </c>
      <c r="U41" s="19" t="n">
        <v>10.91439</v>
      </c>
      <c r="V41" s="19" t="n">
        <v>13.16913</v>
      </c>
      <c r="W41" s="19" t="n">
        <v>13.34617</v>
      </c>
      <c r="X41" s="19" t="n">
        <v>15.28848</v>
      </c>
      <c r="Y41" s="19" t="n">
        <v>17.27765</v>
      </c>
      <c r="Z41" s="19" t="n">
        <v>14.23661</v>
      </c>
      <c r="AA41" s="19" t="n">
        <v>15.42907</v>
      </c>
      <c r="AB41" s="19" t="n">
        <v>15.61133</v>
      </c>
      <c r="AC41" s="19" t="n">
        <v>13.794</v>
      </c>
      <c r="AD41" s="19" t="n">
        <v>12.69527</v>
      </c>
      <c r="AE41" s="19" t="n">
        <v>17.2464</v>
      </c>
      <c r="AF41" s="19" t="n">
        <v>37.6484</v>
      </c>
      <c r="AG41" s="19" t="n">
        <v>31.4674</v>
      </c>
      <c r="AH41" s="19" t="n">
        <v>14.11685</v>
      </c>
      <c r="AI41" s="19" t="n">
        <v>18.0327</v>
      </c>
      <c r="AJ41" s="19" t="n">
        <v>13.0806</v>
      </c>
      <c r="AK41" s="19" t="n">
        <v>13.59091</v>
      </c>
      <c r="AL41" s="19" t="n">
        <v>15.8092</v>
      </c>
      <c r="AM41" s="19" t="n">
        <v>13.66902</v>
      </c>
    </row>
    <row r="42">
      <c r="A42" s="3" t="inlineStr">
        <is>
          <t>R8</t>
        </is>
      </c>
      <c r="B42" s="3" t="inlineStr">
        <is>
          <t>대구한의원</t>
        </is>
      </c>
      <c r="C42" s="18" t="inlineStr"/>
      <c r="D42" s="19" t="n">
        <v>15.79879</v>
      </c>
      <c r="E42" s="19" t="n">
        <v>14.45532</v>
      </c>
      <c r="F42" s="19" t="n">
        <v>23.79191</v>
      </c>
      <c r="G42" s="19" t="n">
        <v>19.26161</v>
      </c>
      <c r="H42" s="19" t="n">
        <v>18.55342</v>
      </c>
      <c r="I42" s="19" t="n">
        <v>21.04249</v>
      </c>
      <c r="J42" s="19" t="n">
        <v>28.38471</v>
      </c>
      <c r="K42" s="19" t="n">
        <v>29.42616</v>
      </c>
      <c r="L42" s="19" t="n">
        <v>40.92897</v>
      </c>
      <c r="M42" s="19" t="n">
        <v>29.85315</v>
      </c>
      <c r="N42" s="19" t="n">
        <v>27.65569</v>
      </c>
      <c r="O42" s="19" t="n">
        <v>27.17142</v>
      </c>
      <c r="P42" s="19" t="n">
        <v>17.97542</v>
      </c>
      <c r="Q42" s="19" t="n">
        <v>17.72026</v>
      </c>
      <c r="R42" s="19" t="n">
        <v>17.387</v>
      </c>
      <c r="S42" s="19" t="n">
        <v>26.34867</v>
      </c>
      <c r="T42" s="19" t="n">
        <v>30.6082</v>
      </c>
      <c r="U42" s="19" t="n">
        <v>24.81774</v>
      </c>
      <c r="V42" s="19" t="n">
        <v>34.01374</v>
      </c>
      <c r="W42" s="19" t="n">
        <v>30.09789</v>
      </c>
      <c r="X42" s="19" t="n">
        <v>14.05436</v>
      </c>
      <c r="Y42" s="19" t="n">
        <v>13.00249</v>
      </c>
      <c r="Z42" s="19" t="n">
        <v>22.06311</v>
      </c>
      <c r="AA42" s="19" t="n">
        <v>22.90147</v>
      </c>
      <c r="AB42" s="19" t="n">
        <v>17.06936</v>
      </c>
      <c r="AC42" s="19" t="n">
        <v>13.88773</v>
      </c>
      <c r="AD42" s="19" t="n">
        <v>11.67465</v>
      </c>
      <c r="AE42" s="19" t="n">
        <v>15.99146</v>
      </c>
      <c r="AF42" s="19" t="n">
        <v>25.33326</v>
      </c>
      <c r="AG42" s="19" t="n">
        <v>20.41762</v>
      </c>
      <c r="AH42" s="19" t="n">
        <v>15.75192</v>
      </c>
      <c r="AI42" s="19" t="n">
        <v>18.64194</v>
      </c>
      <c r="AJ42" s="19" t="n">
        <v>15.4499</v>
      </c>
      <c r="AK42" s="19" t="n">
        <v>11.72672</v>
      </c>
      <c r="AL42" s="19" t="n">
        <v>12.50781</v>
      </c>
      <c r="AM42" s="19" t="n">
        <v>13.97625</v>
      </c>
    </row>
    <row r="43">
      <c r="A43" s="3" t="inlineStr">
        <is>
          <t>R8</t>
        </is>
      </c>
      <c r="B43" s="3" t="inlineStr">
        <is>
          <t>인천한의원</t>
        </is>
      </c>
      <c r="C43" s="18" t="inlineStr"/>
      <c r="D43" s="19" t="n">
        <v>48.04207</v>
      </c>
      <c r="E43" s="19" t="n">
        <v>57.51405</v>
      </c>
      <c r="F43" s="19" t="n">
        <v>100</v>
      </c>
      <c r="G43" s="19" t="n">
        <v>54.19183</v>
      </c>
      <c r="H43" s="19" t="n">
        <v>32.20683</v>
      </c>
      <c r="I43" s="19" t="n">
        <v>31.93605</v>
      </c>
      <c r="J43" s="19" t="n">
        <v>41.00187</v>
      </c>
      <c r="K43" s="19" t="n">
        <v>42.90252</v>
      </c>
      <c r="L43" s="19" t="n">
        <v>32.30056</v>
      </c>
      <c r="M43" s="19" t="n">
        <v>27.89002</v>
      </c>
      <c r="N43" s="19" t="n">
        <v>29.12934</v>
      </c>
      <c r="O43" s="19" t="n">
        <v>24.90106</v>
      </c>
      <c r="P43" s="19" t="n">
        <v>27.73901</v>
      </c>
      <c r="Q43" s="19" t="n">
        <v>21.57363</v>
      </c>
      <c r="R43" s="19" t="n">
        <v>17.98583</v>
      </c>
      <c r="S43" s="19" t="n">
        <v>17.95459</v>
      </c>
      <c r="T43" s="19" t="n">
        <v>19.78233</v>
      </c>
      <c r="U43" s="19" t="n">
        <v>19.95938</v>
      </c>
      <c r="V43" s="19" t="n">
        <v>21.24557</v>
      </c>
      <c r="W43" s="19" t="n">
        <v>21.15705</v>
      </c>
      <c r="X43" s="19" t="n">
        <v>22.54738</v>
      </c>
      <c r="Y43" s="19" t="n">
        <v>21.61528</v>
      </c>
      <c r="Z43" s="19" t="n">
        <v>24.72401</v>
      </c>
      <c r="AA43" s="19" t="n">
        <v>34.57612</v>
      </c>
      <c r="AB43" s="19" t="n">
        <v>26.58821</v>
      </c>
      <c r="AC43" s="19" t="n">
        <v>29.36367</v>
      </c>
      <c r="AD43" s="19" t="n">
        <v>20.70922</v>
      </c>
      <c r="AE43" s="19" t="n">
        <v>19.05852</v>
      </c>
      <c r="AF43" s="19" t="n">
        <v>23.60966</v>
      </c>
      <c r="AG43" s="19" t="n">
        <v>17.82961</v>
      </c>
      <c r="AH43" s="19" t="n">
        <v>20.54259</v>
      </c>
      <c r="AI43" s="19" t="n">
        <v>22.72963</v>
      </c>
      <c r="AJ43" s="19" t="n">
        <v>19.12622</v>
      </c>
      <c r="AK43" s="19" t="n">
        <v>15.25203</v>
      </c>
      <c r="AL43" s="19" t="n">
        <v>16.75171</v>
      </c>
      <c r="AM43" s="19" t="n">
        <v>14.13767</v>
      </c>
    </row>
    <row r="44">
      <c r="A44" s="3" t="inlineStr">
        <is>
          <t>R8</t>
        </is>
      </c>
      <c r="B44" s="3" t="inlineStr">
        <is>
          <t>대전한의원</t>
        </is>
      </c>
      <c r="C44" s="18" t="inlineStr"/>
      <c r="D44" s="19" t="n">
        <v>13.54405</v>
      </c>
      <c r="E44" s="19" t="n">
        <v>14.07519</v>
      </c>
      <c r="F44" s="19" t="n">
        <v>12.83586</v>
      </c>
      <c r="G44" s="19" t="n">
        <v>14.30431</v>
      </c>
      <c r="H44" s="19" t="n">
        <v>14.93438</v>
      </c>
      <c r="I44" s="19" t="n">
        <v>13.95542</v>
      </c>
      <c r="J44" s="19" t="n">
        <v>15.40304</v>
      </c>
      <c r="K44" s="19" t="n">
        <v>20.97479</v>
      </c>
      <c r="L44" s="19" t="n">
        <v>17.33493</v>
      </c>
      <c r="M44" s="19" t="n">
        <v>15.86127</v>
      </c>
      <c r="N44" s="19" t="n">
        <v>16.52259</v>
      </c>
      <c r="O44" s="19" t="n">
        <v>17.80358</v>
      </c>
      <c r="P44" s="19" t="n">
        <v>24.01062</v>
      </c>
      <c r="Q44" s="19" t="n">
        <v>15.06977</v>
      </c>
      <c r="R44" s="19" t="n">
        <v>14.27306</v>
      </c>
      <c r="S44" s="19" t="n">
        <v>15.42907</v>
      </c>
      <c r="T44" s="19" t="n">
        <v>16.33513</v>
      </c>
      <c r="U44" s="19" t="n">
        <v>46.02166</v>
      </c>
      <c r="V44" s="19" t="n">
        <v>14.56467</v>
      </c>
      <c r="W44" s="19" t="n">
        <v>13.64819</v>
      </c>
      <c r="X44" s="19" t="n">
        <v>14.52301</v>
      </c>
      <c r="Y44" s="19" t="n">
        <v>15.13226</v>
      </c>
      <c r="Z44" s="19" t="n">
        <v>25</v>
      </c>
      <c r="AA44" s="19" t="n">
        <v>23.84399</v>
      </c>
      <c r="AB44" s="19" t="n">
        <v>21.86523</v>
      </c>
      <c r="AC44" s="19" t="n">
        <v>39.42928</v>
      </c>
      <c r="AD44" s="19" t="n">
        <v>17.59529</v>
      </c>
      <c r="AE44" s="19" t="n">
        <v>31.23307</v>
      </c>
      <c r="AF44" s="19" t="n">
        <v>16.05394</v>
      </c>
      <c r="AG44" s="19" t="n">
        <v>24.88023</v>
      </c>
      <c r="AH44" s="19" t="n">
        <v>14.58029</v>
      </c>
      <c r="AI44" s="19" t="n">
        <v>14.6584</v>
      </c>
      <c r="AJ44" s="19" t="n">
        <v>15.69464</v>
      </c>
      <c r="AK44" s="19" t="n">
        <v>14.57508</v>
      </c>
      <c r="AL44" s="19" t="n">
        <v>26.66111</v>
      </c>
      <c r="AM44" s="19" t="n">
        <v>21.62049</v>
      </c>
    </row>
    <row r="45">
      <c r="A45" s="3" t="inlineStr">
        <is>
          <t>R9</t>
        </is>
      </c>
      <c r="B45" s="3" t="inlineStr">
        <is>
          <t>서울피부과</t>
        </is>
      </c>
      <c r="C45" s="18" t="inlineStr">
        <is>
          <t>앵커</t>
        </is>
      </c>
      <c r="D45" s="19" t="n">
        <v>62.29497</v>
      </c>
      <c r="E45" s="19" t="n">
        <v>65.83496</v>
      </c>
      <c r="F45" s="19" t="n">
        <v>54.93635</v>
      </c>
      <c r="G45" s="19" t="n">
        <v>55.63928</v>
      </c>
      <c r="H45" s="19" t="n">
        <v>65.77797</v>
      </c>
      <c r="I45" s="19" t="n">
        <v>65.54366</v>
      </c>
      <c r="J45" s="19" t="n">
        <v>64.92305</v>
      </c>
      <c r="K45" s="19" t="n">
        <v>63.54885</v>
      </c>
      <c r="L45" s="19" t="n">
        <v>66.77221</v>
      </c>
      <c r="M45" s="19" t="n">
        <v>61.47172</v>
      </c>
      <c r="N45" s="19" t="n">
        <v>72.00937</v>
      </c>
      <c r="O45" s="19" t="n">
        <v>72.14234999999999</v>
      </c>
      <c r="P45" s="19" t="n">
        <v>64.27710999999999</v>
      </c>
      <c r="Q45" s="19" t="n">
        <v>60.52814</v>
      </c>
      <c r="R45" s="19" t="n">
        <v>54.28408</v>
      </c>
      <c r="S45" s="19" t="n">
        <v>55.15166</v>
      </c>
      <c r="T45" s="19" t="n">
        <v>67.17749999999999</v>
      </c>
      <c r="U45" s="19" t="n">
        <v>60.73079</v>
      </c>
      <c r="V45" s="19" t="n">
        <v>60.6168</v>
      </c>
      <c r="W45" s="19" t="n">
        <v>57.95073</v>
      </c>
      <c r="X45" s="19" t="n">
        <v>62.10499</v>
      </c>
      <c r="Y45" s="19" t="n">
        <v>60.04686</v>
      </c>
      <c r="Z45" s="19" t="n">
        <v>65.42334</v>
      </c>
      <c r="AA45" s="19" t="n">
        <v>65.69564</v>
      </c>
      <c r="AB45" s="19" t="n">
        <v>55.88626</v>
      </c>
      <c r="AC45" s="19" t="n">
        <v>61.2944</v>
      </c>
      <c r="AD45" s="19" t="n">
        <v>45.96922</v>
      </c>
      <c r="AE45" s="19" t="n">
        <v>50.43379</v>
      </c>
      <c r="AF45" s="19" t="n">
        <v>54.4614</v>
      </c>
      <c r="AG45" s="19" t="n">
        <v>51.26971</v>
      </c>
      <c r="AH45" s="19" t="n">
        <v>50.16781</v>
      </c>
      <c r="AI45" s="19" t="n">
        <v>49.96517</v>
      </c>
      <c r="AJ45" s="19" t="n">
        <v>51.675</v>
      </c>
      <c r="AK45" s="19" t="n">
        <v>50.3008</v>
      </c>
      <c r="AL45" s="19" t="n">
        <v>54.41707</v>
      </c>
      <c r="AM45" s="19" t="n">
        <v>54.39174</v>
      </c>
    </row>
    <row r="46">
      <c r="A46" s="3" t="inlineStr">
        <is>
          <t>R9</t>
        </is>
      </c>
      <c r="B46" s="3" t="inlineStr">
        <is>
          <t>부산안과</t>
        </is>
      </c>
      <c r="C46" s="18" t="inlineStr"/>
      <c r="D46" s="19" t="n">
        <v>20.52434</v>
      </c>
      <c r="E46" s="19" t="n">
        <v>18.56753</v>
      </c>
      <c r="F46" s="19" t="n">
        <v>16.55373</v>
      </c>
      <c r="G46" s="19" t="n">
        <v>17.37065</v>
      </c>
      <c r="H46" s="19" t="n">
        <v>20.40402</v>
      </c>
      <c r="I46" s="19" t="n">
        <v>23.45639</v>
      </c>
      <c r="J46" s="19" t="n">
        <v>28.9152</v>
      </c>
      <c r="K46" s="19" t="n">
        <v>20.38502</v>
      </c>
      <c r="L46" s="19" t="n">
        <v>20.60667</v>
      </c>
      <c r="M46" s="19" t="n">
        <v>20.55601</v>
      </c>
      <c r="N46" s="19" t="n">
        <v>26.57843</v>
      </c>
      <c r="O46" s="19" t="n">
        <v>24.88126</v>
      </c>
      <c r="P46" s="19" t="n">
        <v>23.51339</v>
      </c>
      <c r="Q46" s="19" t="n">
        <v>20.89164</v>
      </c>
      <c r="R46" s="19" t="n">
        <v>18.39655</v>
      </c>
      <c r="S46" s="19" t="n">
        <v>19.68843</v>
      </c>
      <c r="T46" s="19" t="n">
        <v>29.93477</v>
      </c>
      <c r="U46" s="19" t="n">
        <v>42.09993</v>
      </c>
      <c r="V46" s="19" t="n">
        <v>45.26629</v>
      </c>
      <c r="W46" s="19" t="n">
        <v>34.86796</v>
      </c>
      <c r="X46" s="19" t="n">
        <v>48.68596</v>
      </c>
      <c r="Y46" s="19" t="n">
        <v>35.02628</v>
      </c>
      <c r="Z46" s="19" t="n">
        <v>57.2098</v>
      </c>
      <c r="AA46" s="19" t="n">
        <v>34.11436</v>
      </c>
      <c r="AB46" s="19" t="n">
        <v>28.28826</v>
      </c>
      <c r="AC46" s="19" t="n">
        <v>32.96814</v>
      </c>
      <c r="AD46" s="19" t="n">
        <v>17.06035</v>
      </c>
      <c r="AE46" s="19" t="n">
        <v>17.59863</v>
      </c>
      <c r="AF46" s="19" t="n">
        <v>23.83636</v>
      </c>
      <c r="AG46" s="19" t="n">
        <v>17.5163</v>
      </c>
      <c r="AH46" s="19" t="n">
        <v>28.16794</v>
      </c>
      <c r="AI46" s="19" t="n">
        <v>21.25261</v>
      </c>
      <c r="AJ46" s="19" t="n">
        <v>41.27667</v>
      </c>
      <c r="AK46" s="19" t="n">
        <v>64.18846000000001</v>
      </c>
      <c r="AL46" s="19" t="n">
        <v>41.96694</v>
      </c>
      <c r="AM46" s="19" t="n">
        <v>34.13336</v>
      </c>
    </row>
    <row r="47">
      <c r="A47" s="3" t="inlineStr">
        <is>
          <t>R9</t>
        </is>
      </c>
      <c r="B47" s="3" t="inlineStr">
        <is>
          <t>대구안과</t>
        </is>
      </c>
      <c r="C47" s="18" t="inlineStr"/>
      <c r="D47" s="19" t="n">
        <v>40.85871</v>
      </c>
      <c r="E47" s="19" t="n">
        <v>43.47413</v>
      </c>
      <c r="F47" s="19" t="n">
        <v>35.40624</v>
      </c>
      <c r="G47" s="19" t="n">
        <v>37.31872</v>
      </c>
      <c r="H47" s="19" t="n">
        <v>39.83281</v>
      </c>
      <c r="I47" s="19" t="n">
        <v>39.74415</v>
      </c>
      <c r="J47" s="19" t="n">
        <v>40.20644</v>
      </c>
      <c r="K47" s="19" t="n">
        <v>38.2623</v>
      </c>
      <c r="L47" s="19" t="n">
        <v>41.64397</v>
      </c>
      <c r="M47" s="19" t="n">
        <v>38.33196</v>
      </c>
      <c r="N47" s="19" t="n">
        <v>45.31695</v>
      </c>
      <c r="O47" s="19" t="n">
        <v>43.45513</v>
      </c>
      <c r="P47" s="19" t="n">
        <v>41.94794</v>
      </c>
      <c r="Q47" s="19" t="n">
        <v>40.14311</v>
      </c>
      <c r="R47" s="19" t="n">
        <v>35.09594</v>
      </c>
      <c r="S47" s="19" t="n">
        <v>35.62788</v>
      </c>
      <c r="T47" s="19" t="n">
        <v>41.21968</v>
      </c>
      <c r="U47" s="19" t="n">
        <v>37.76834</v>
      </c>
      <c r="V47" s="19" t="n">
        <v>43.11949</v>
      </c>
      <c r="W47" s="19" t="n">
        <v>39.9088</v>
      </c>
      <c r="X47" s="19" t="n">
        <v>39.02222</v>
      </c>
      <c r="Y47" s="19" t="n">
        <v>37.96466</v>
      </c>
      <c r="Z47" s="19" t="n">
        <v>40.00379</v>
      </c>
      <c r="AA47" s="19" t="n">
        <v>43.56278</v>
      </c>
      <c r="AB47" s="19" t="n">
        <v>36.25482</v>
      </c>
      <c r="AC47" s="19" t="n">
        <v>45.05097</v>
      </c>
      <c r="AD47" s="19" t="n">
        <v>33.64574</v>
      </c>
      <c r="AE47" s="19" t="n">
        <v>36.09651</v>
      </c>
      <c r="AF47" s="19" t="n">
        <v>38.81324</v>
      </c>
      <c r="AG47" s="19" t="n">
        <v>35.8052</v>
      </c>
      <c r="AH47" s="19" t="n">
        <v>35.52023</v>
      </c>
      <c r="AI47" s="19" t="n">
        <v>35.76087</v>
      </c>
      <c r="AJ47" s="19" t="n">
        <v>39.68716</v>
      </c>
      <c r="AK47" s="19" t="n">
        <v>40.19378</v>
      </c>
      <c r="AL47" s="19" t="n">
        <v>41.70096</v>
      </c>
      <c r="AM47" s="19" t="n">
        <v>41.82762</v>
      </c>
    </row>
    <row r="48">
      <c r="A48" s="3" t="inlineStr">
        <is>
          <t>R9</t>
        </is>
      </c>
      <c r="B48" s="3" t="inlineStr">
        <is>
          <t>부산정형외과</t>
        </is>
      </c>
      <c r="C48" s="18" t="inlineStr"/>
      <c r="D48" s="19" t="n">
        <v>22.89911</v>
      </c>
      <c r="E48" s="19" t="n">
        <v>23.31707</v>
      </c>
      <c r="F48" s="19" t="n">
        <v>18.49787</v>
      </c>
      <c r="G48" s="19" t="n">
        <v>28.55423</v>
      </c>
      <c r="H48" s="19" t="n">
        <v>25.1599</v>
      </c>
      <c r="I48" s="19" t="n">
        <v>26.43911</v>
      </c>
      <c r="J48" s="19" t="n">
        <v>28.26293</v>
      </c>
      <c r="K48" s="19" t="n">
        <v>26.78741</v>
      </c>
      <c r="L48" s="19" t="n">
        <v>30.5997</v>
      </c>
      <c r="M48" s="19" t="n">
        <v>33.97504</v>
      </c>
      <c r="N48" s="19" t="n">
        <v>26.83807</v>
      </c>
      <c r="O48" s="19" t="n">
        <v>28.50357</v>
      </c>
      <c r="P48" s="19" t="n">
        <v>27.78798</v>
      </c>
      <c r="Q48" s="19" t="n">
        <v>24.01367</v>
      </c>
      <c r="R48" s="19" t="n">
        <v>23.24741</v>
      </c>
      <c r="S48" s="19" t="n">
        <v>25.02691</v>
      </c>
      <c r="T48" s="19" t="n">
        <v>26.8634</v>
      </c>
      <c r="U48" s="19" t="n">
        <v>33.45576</v>
      </c>
      <c r="V48" s="19" t="n">
        <v>34.63998</v>
      </c>
      <c r="W48" s="19" t="n">
        <v>36.96409</v>
      </c>
      <c r="X48" s="19" t="n">
        <v>26.39478</v>
      </c>
      <c r="Y48" s="19" t="n">
        <v>24.83059</v>
      </c>
      <c r="Z48" s="19" t="n">
        <v>28.74422</v>
      </c>
      <c r="AA48" s="19" t="n">
        <v>32.90481</v>
      </c>
      <c r="AB48" s="19" t="n">
        <v>27.522</v>
      </c>
      <c r="AC48" s="19" t="n">
        <v>27.05338</v>
      </c>
      <c r="AD48" s="19" t="n">
        <v>18.49787</v>
      </c>
      <c r="AE48" s="19" t="n">
        <v>32.77816</v>
      </c>
      <c r="AF48" s="19" t="n">
        <v>50.78209</v>
      </c>
      <c r="AG48" s="19" t="n">
        <v>48.9646</v>
      </c>
      <c r="AH48" s="19" t="n">
        <v>63.32087</v>
      </c>
      <c r="AI48" s="19" t="n">
        <v>45.60825</v>
      </c>
      <c r="AJ48" s="19" t="n">
        <v>26.85707</v>
      </c>
      <c r="AK48" s="19" t="n">
        <v>19.2388</v>
      </c>
      <c r="AL48" s="19" t="n">
        <v>18.20657</v>
      </c>
      <c r="AM48" s="19" t="n">
        <v>18.53587</v>
      </c>
    </row>
    <row r="49">
      <c r="A49" s="3" t="inlineStr">
        <is>
          <t>R9</t>
        </is>
      </c>
      <c r="B49" s="3" t="inlineStr">
        <is>
          <t>대구정형외과</t>
        </is>
      </c>
      <c r="C49" s="18" t="inlineStr"/>
      <c r="D49" s="19" t="n">
        <v>33.62041</v>
      </c>
      <c r="E49" s="19" t="n">
        <v>32.52485</v>
      </c>
      <c r="F49" s="19" t="n">
        <v>28.2186</v>
      </c>
      <c r="G49" s="19" t="n">
        <v>27.82597</v>
      </c>
      <c r="H49" s="19" t="n">
        <v>28.72522</v>
      </c>
      <c r="I49" s="19" t="n">
        <v>27.96529</v>
      </c>
      <c r="J49" s="19" t="n">
        <v>28.47191</v>
      </c>
      <c r="K49" s="19" t="n">
        <v>27.24336</v>
      </c>
      <c r="L49" s="19" t="n">
        <v>35.70388</v>
      </c>
      <c r="M49" s="19" t="n">
        <v>31.45462</v>
      </c>
      <c r="N49" s="19" t="n">
        <v>30.99867</v>
      </c>
      <c r="O49" s="19" t="n">
        <v>32.48052</v>
      </c>
      <c r="P49" s="19" t="n">
        <v>38.64859</v>
      </c>
      <c r="Q49" s="19" t="n">
        <v>33.72807</v>
      </c>
      <c r="R49" s="19" t="n">
        <v>31.55594</v>
      </c>
      <c r="S49" s="19" t="n">
        <v>34.56399</v>
      </c>
      <c r="T49" s="19" t="n">
        <v>34.88062</v>
      </c>
      <c r="U49" s="19" t="n">
        <v>27.1547</v>
      </c>
      <c r="V49" s="19" t="n">
        <v>31.77126</v>
      </c>
      <c r="W49" s="19" t="n">
        <v>31.14432</v>
      </c>
      <c r="X49" s="19" t="n">
        <v>53.49249</v>
      </c>
      <c r="Y49" s="19" t="n">
        <v>100</v>
      </c>
      <c r="Z49" s="19" t="n">
        <v>74.10550000000001</v>
      </c>
      <c r="AA49" s="19" t="n">
        <v>54.3854</v>
      </c>
      <c r="AB49" s="19" t="n">
        <v>66.22759000000001</v>
      </c>
      <c r="AC49" s="19" t="n">
        <v>65.11937</v>
      </c>
      <c r="AD49" s="19" t="n">
        <v>34.39934</v>
      </c>
      <c r="AE49" s="19" t="n">
        <v>34.67798</v>
      </c>
      <c r="AF49" s="19" t="n">
        <v>28.59223</v>
      </c>
      <c r="AG49" s="19" t="n">
        <v>31.16332</v>
      </c>
      <c r="AH49" s="19" t="n">
        <v>34.80463</v>
      </c>
      <c r="AI49" s="19" t="n">
        <v>33.35444</v>
      </c>
      <c r="AJ49" s="19" t="n">
        <v>35.68488</v>
      </c>
      <c r="AK49" s="19" t="n">
        <v>40.26977</v>
      </c>
      <c r="AL49" s="19" t="n">
        <v>37.72402</v>
      </c>
      <c r="AM49" s="19" t="n">
        <v>38.78158</v>
      </c>
    </row>
    <row r="50">
      <c r="A50" s="3" t="inlineStr">
        <is>
          <t>R10</t>
        </is>
      </c>
      <c r="B50" s="3" t="inlineStr">
        <is>
          <t>서울피부과</t>
        </is>
      </c>
      <c r="C50" s="18" t="inlineStr">
        <is>
          <t>앵커</t>
        </is>
      </c>
      <c r="D50" s="19" t="n">
        <v>81.72981</v>
      </c>
      <c r="E50" s="19" t="n">
        <v>86.37421000000001</v>
      </c>
      <c r="F50" s="19" t="n">
        <v>72.07544</v>
      </c>
      <c r="G50" s="19" t="n">
        <v>72.99767</v>
      </c>
      <c r="H50" s="19" t="n">
        <v>86.29943</v>
      </c>
      <c r="I50" s="19" t="n">
        <v>85.99202</v>
      </c>
      <c r="J50" s="19" t="n">
        <v>85.17779</v>
      </c>
      <c r="K50" s="19" t="n">
        <v>83.37487</v>
      </c>
      <c r="L50" s="19" t="n">
        <v>87.60384999999999</v>
      </c>
      <c r="M50" s="19" t="n">
        <v>80.64971</v>
      </c>
      <c r="N50" s="19" t="n">
        <v>94.47490000000001</v>
      </c>
      <c r="O50" s="19" t="n">
        <v>94.64937999999999</v>
      </c>
      <c r="P50" s="19" t="n">
        <v>84.33034000000001</v>
      </c>
      <c r="Q50" s="19" t="n">
        <v>79.41176</v>
      </c>
      <c r="R50" s="19" t="n">
        <v>71.21966999999999</v>
      </c>
      <c r="S50" s="19" t="n">
        <v>72.35791999999999</v>
      </c>
      <c r="T50" s="19" t="n">
        <v>88.13558999999999</v>
      </c>
      <c r="U50" s="19" t="n">
        <v>79.67762999999999</v>
      </c>
      <c r="V50" s="19" t="n">
        <v>79.52808</v>
      </c>
      <c r="W50" s="19" t="n">
        <v>76.03024000000001</v>
      </c>
      <c r="X50" s="19" t="n">
        <v>81.48054999999999</v>
      </c>
      <c r="Y50" s="19" t="n">
        <v>78.78032</v>
      </c>
      <c r="Z50" s="19" t="n">
        <v>85.83416</v>
      </c>
      <c r="AA50" s="19" t="n">
        <v>86.19141999999999</v>
      </c>
      <c r="AB50" s="19" t="n">
        <v>73.32170000000001</v>
      </c>
      <c r="AC50" s="19" t="n">
        <v>80.41708</v>
      </c>
      <c r="AD50" s="19" t="n">
        <v>60.31073</v>
      </c>
      <c r="AE50" s="19" t="n">
        <v>66.16816</v>
      </c>
      <c r="AF50" s="19" t="n">
        <v>71.45229999999999</v>
      </c>
      <c r="AG50" s="19" t="n">
        <v>67.26487</v>
      </c>
      <c r="AH50" s="19" t="n">
        <v>65.8192</v>
      </c>
      <c r="AI50" s="19" t="n">
        <v>65.55333</v>
      </c>
      <c r="AJ50" s="19" t="n">
        <v>67.79661</v>
      </c>
      <c r="AK50" s="19" t="n">
        <v>65.99368</v>
      </c>
      <c r="AL50" s="19" t="n">
        <v>71.39415</v>
      </c>
      <c r="AM50" s="19" t="n">
        <v>71.36091</v>
      </c>
    </row>
    <row r="51">
      <c r="A51" s="3" t="inlineStr">
        <is>
          <t>R10</t>
        </is>
      </c>
      <c r="B51" s="3" t="inlineStr">
        <is>
          <t>부산이비인후과</t>
        </is>
      </c>
      <c r="C51" s="18" t="inlineStr"/>
      <c r="D51" s="19" t="n">
        <v>33.56596</v>
      </c>
      <c r="E51" s="19" t="n">
        <v>39.19076</v>
      </c>
      <c r="F51" s="19" t="n">
        <v>33.61581</v>
      </c>
      <c r="G51" s="19" t="n">
        <v>38.65071</v>
      </c>
      <c r="H51" s="19" t="n">
        <v>37.88634</v>
      </c>
      <c r="I51" s="19" t="n">
        <v>37.1552</v>
      </c>
      <c r="J51" s="19" t="n">
        <v>36.50714</v>
      </c>
      <c r="K51" s="19" t="n">
        <v>37.10535</v>
      </c>
      <c r="L51" s="19" t="n">
        <v>39.44832</v>
      </c>
      <c r="M51" s="19" t="n">
        <v>35.31073</v>
      </c>
      <c r="N51" s="19" t="n">
        <v>51.10501</v>
      </c>
      <c r="O51" s="19" t="n">
        <v>55.53339</v>
      </c>
      <c r="P51" s="19" t="n">
        <v>55.82419</v>
      </c>
      <c r="Q51" s="19" t="n">
        <v>42.04885</v>
      </c>
      <c r="R51" s="19" t="n">
        <v>36.34097</v>
      </c>
      <c r="S51" s="19" t="n">
        <v>41.33433</v>
      </c>
      <c r="T51" s="19" t="n">
        <v>41.74144</v>
      </c>
      <c r="U51" s="19" t="n">
        <v>31.27284</v>
      </c>
      <c r="V51" s="19" t="n">
        <v>33.92323</v>
      </c>
      <c r="W51" s="19" t="n">
        <v>33.08408</v>
      </c>
      <c r="X51" s="19" t="n">
        <v>32.63542</v>
      </c>
      <c r="Y51" s="19" t="n">
        <v>28.67231</v>
      </c>
      <c r="Z51" s="19" t="n">
        <v>38.31837</v>
      </c>
      <c r="AA51" s="19" t="n">
        <v>45.43868</v>
      </c>
      <c r="AB51" s="19" t="n">
        <v>47.94782</v>
      </c>
      <c r="AC51" s="19" t="n">
        <v>36.34097</v>
      </c>
      <c r="AD51" s="19" t="n">
        <v>47.88135</v>
      </c>
      <c r="AE51" s="19" t="n">
        <v>38.32668</v>
      </c>
      <c r="AF51" s="19" t="n">
        <v>34.53805</v>
      </c>
      <c r="AG51" s="19" t="n">
        <v>37.29644</v>
      </c>
      <c r="AH51" s="19" t="n">
        <v>34.01462</v>
      </c>
      <c r="AI51" s="19" t="n">
        <v>31.28946</v>
      </c>
      <c r="AJ51" s="19" t="n">
        <v>30.15121</v>
      </c>
      <c r="AK51" s="19" t="n">
        <v>23.58757</v>
      </c>
      <c r="AL51" s="19" t="n">
        <v>25.27417</v>
      </c>
      <c r="AM51" s="19" t="n">
        <v>27.21003</v>
      </c>
    </row>
    <row r="52">
      <c r="A52" s="3" t="inlineStr">
        <is>
          <t>R10</t>
        </is>
      </c>
      <c r="B52" s="3" t="inlineStr">
        <is>
          <t>대구이비인후과</t>
        </is>
      </c>
      <c r="C52" s="18" t="inlineStr"/>
      <c r="D52" s="19" t="n">
        <v>33.82352</v>
      </c>
      <c r="E52" s="19" t="n">
        <v>39.58956</v>
      </c>
      <c r="F52" s="19" t="n">
        <v>31.13991</v>
      </c>
      <c r="G52" s="19" t="n">
        <v>35.84247</v>
      </c>
      <c r="H52" s="19" t="n">
        <v>41.47557</v>
      </c>
      <c r="I52" s="19" t="n">
        <v>55.27583</v>
      </c>
      <c r="J52" s="19" t="n">
        <v>39.98836</v>
      </c>
      <c r="K52" s="19" t="n">
        <v>40.0216</v>
      </c>
      <c r="L52" s="19" t="n">
        <v>39.19076</v>
      </c>
      <c r="M52" s="19" t="n">
        <v>31.5304</v>
      </c>
      <c r="N52" s="19" t="n">
        <v>33.22532</v>
      </c>
      <c r="O52" s="19" t="n">
        <v>39.53971</v>
      </c>
      <c r="P52" s="19" t="n">
        <v>37.76171</v>
      </c>
      <c r="Q52" s="19" t="n">
        <v>31.27284</v>
      </c>
      <c r="R52" s="19" t="n">
        <v>27.94948</v>
      </c>
      <c r="S52" s="19" t="n">
        <v>31.97075</v>
      </c>
      <c r="T52" s="19" t="n">
        <v>42.24825</v>
      </c>
      <c r="U52" s="19" t="n">
        <v>27.22665</v>
      </c>
      <c r="V52" s="19" t="n">
        <v>53.96311</v>
      </c>
      <c r="W52" s="19" t="n">
        <v>29.61116</v>
      </c>
      <c r="X52" s="19" t="n">
        <v>35.48521</v>
      </c>
      <c r="Y52" s="19" t="n">
        <v>52.88301</v>
      </c>
      <c r="Z52" s="19" t="n">
        <v>51.32103</v>
      </c>
      <c r="AA52" s="19" t="n">
        <v>37.67032</v>
      </c>
      <c r="AB52" s="19" t="n">
        <v>46.3443</v>
      </c>
      <c r="AC52" s="19" t="n">
        <v>41.33433</v>
      </c>
      <c r="AD52" s="19" t="n">
        <v>73.2303</v>
      </c>
      <c r="AE52" s="19" t="n">
        <v>100</v>
      </c>
      <c r="AF52" s="19" t="n">
        <v>28.78032</v>
      </c>
      <c r="AG52" s="19" t="n">
        <v>33.41641</v>
      </c>
      <c r="AH52" s="19" t="n">
        <v>29.37853</v>
      </c>
      <c r="AI52" s="19" t="n">
        <v>31.00697</v>
      </c>
      <c r="AJ52" s="19" t="n">
        <v>33.18378</v>
      </c>
      <c r="AK52" s="19" t="n">
        <v>30.38384</v>
      </c>
      <c r="AL52" s="19" t="n">
        <v>32.73512</v>
      </c>
      <c r="AM52" s="19" t="n">
        <v>33.5992</v>
      </c>
    </row>
    <row r="53">
      <c r="A53" s="3" t="inlineStr">
        <is>
          <t>R10</t>
        </is>
      </c>
      <c r="B53" s="3" t="inlineStr">
        <is>
          <t>부산산부인과</t>
        </is>
      </c>
      <c r="C53" s="18" t="inlineStr"/>
      <c r="D53" s="19" t="n">
        <v>33.71552</v>
      </c>
      <c r="E53" s="19" t="n">
        <v>32.35294</v>
      </c>
      <c r="F53" s="19" t="n">
        <v>27.76669</v>
      </c>
      <c r="G53" s="19" t="n">
        <v>30.58325</v>
      </c>
      <c r="H53" s="19" t="n">
        <v>37.8531</v>
      </c>
      <c r="I53" s="19" t="n">
        <v>62.13027</v>
      </c>
      <c r="J53" s="19" t="n">
        <v>33.47457</v>
      </c>
      <c r="K53" s="19" t="n">
        <v>36.81455</v>
      </c>
      <c r="L53" s="19" t="n">
        <v>34.75407</v>
      </c>
      <c r="M53" s="19" t="n">
        <v>30.90727</v>
      </c>
      <c r="N53" s="19" t="n">
        <v>32.36955</v>
      </c>
      <c r="O53" s="19" t="n">
        <v>34.41342</v>
      </c>
      <c r="P53" s="19" t="n">
        <v>36.73147</v>
      </c>
      <c r="Q53" s="19" t="n">
        <v>30.3423</v>
      </c>
      <c r="R53" s="19" t="n">
        <v>25.83084</v>
      </c>
      <c r="S53" s="19" t="n">
        <v>26.95247</v>
      </c>
      <c r="T53" s="19" t="n">
        <v>32.85144</v>
      </c>
      <c r="U53" s="19" t="n">
        <v>26.55367</v>
      </c>
      <c r="V53" s="19" t="n">
        <v>30.1429</v>
      </c>
      <c r="W53" s="19" t="n">
        <v>25.29079</v>
      </c>
      <c r="X53" s="19" t="n">
        <v>28.38983</v>
      </c>
      <c r="Y53" s="19" t="n">
        <v>28.62246</v>
      </c>
      <c r="Z53" s="19" t="n">
        <v>26.73645</v>
      </c>
      <c r="AA53" s="19" t="n">
        <v>36.23296</v>
      </c>
      <c r="AB53" s="19" t="n">
        <v>25.82253</v>
      </c>
      <c r="AC53" s="19" t="n">
        <v>31.97075</v>
      </c>
      <c r="AD53" s="19" t="n">
        <v>23.65403</v>
      </c>
      <c r="AE53" s="19" t="n">
        <v>25.73113</v>
      </c>
      <c r="AF53" s="19" t="n">
        <v>25.93054</v>
      </c>
      <c r="AG53" s="19" t="n">
        <v>27.97441</v>
      </c>
      <c r="AH53" s="19" t="n">
        <v>24.2107</v>
      </c>
      <c r="AI53" s="19" t="n">
        <v>29.27052</v>
      </c>
      <c r="AJ53" s="19" t="n">
        <v>33.36656</v>
      </c>
      <c r="AK53" s="19" t="n">
        <v>27.5756</v>
      </c>
      <c r="AL53" s="19" t="n">
        <v>29.72748</v>
      </c>
      <c r="AM53" s="19" t="n">
        <v>30.69956</v>
      </c>
    </row>
    <row r="54">
      <c r="A54" s="3" t="inlineStr">
        <is>
          <t>R10</t>
        </is>
      </c>
      <c r="B54" s="3" t="inlineStr">
        <is>
          <t>대구산부인과</t>
        </is>
      </c>
      <c r="C54" s="18" t="inlineStr"/>
      <c r="D54" s="19" t="n">
        <v>42.5972</v>
      </c>
      <c r="E54" s="19" t="n">
        <v>44.82386</v>
      </c>
      <c r="F54" s="19" t="n">
        <v>37.86141</v>
      </c>
      <c r="G54" s="19" t="n">
        <v>40.33732</v>
      </c>
      <c r="H54" s="19" t="n">
        <v>42.97939</v>
      </c>
      <c r="I54" s="19" t="n">
        <v>41.07676</v>
      </c>
      <c r="J54" s="19" t="n">
        <v>42.68029</v>
      </c>
      <c r="K54" s="19" t="n">
        <v>50.61482</v>
      </c>
      <c r="L54" s="19" t="n">
        <v>44.98172</v>
      </c>
      <c r="M54" s="19" t="n">
        <v>42.10701</v>
      </c>
      <c r="N54" s="19" t="n">
        <v>45.09803</v>
      </c>
      <c r="O54" s="19" t="n">
        <v>46.17813</v>
      </c>
      <c r="P54" s="19" t="n">
        <v>47.3413</v>
      </c>
      <c r="Q54" s="19" t="n">
        <v>44.00132</v>
      </c>
      <c r="R54" s="19" t="n">
        <v>37.49584</v>
      </c>
      <c r="S54" s="19" t="n">
        <v>39.61448</v>
      </c>
      <c r="T54" s="19" t="n">
        <v>44.80724</v>
      </c>
      <c r="U54" s="19" t="n">
        <v>39.53971</v>
      </c>
      <c r="V54" s="19" t="n">
        <v>47.45762</v>
      </c>
      <c r="W54" s="19" t="n">
        <v>52.83316</v>
      </c>
      <c r="X54" s="19" t="n">
        <v>42.48089</v>
      </c>
      <c r="Y54" s="19" t="n">
        <v>40.63642</v>
      </c>
      <c r="Z54" s="19" t="n">
        <v>41.27617</v>
      </c>
      <c r="AA54" s="19" t="n">
        <v>48.12229</v>
      </c>
      <c r="AB54" s="19" t="n">
        <v>39.74742</v>
      </c>
      <c r="AC54" s="19" t="n">
        <v>47.72349</v>
      </c>
      <c r="AD54" s="19" t="n">
        <v>34.24725</v>
      </c>
      <c r="AE54" s="19" t="n">
        <v>38.33499</v>
      </c>
      <c r="AF54" s="19" t="n">
        <v>37.67032</v>
      </c>
      <c r="AG54" s="19" t="n">
        <v>37.56231</v>
      </c>
      <c r="AH54" s="19" t="n">
        <v>39.34031</v>
      </c>
      <c r="AI54" s="19" t="n">
        <v>44.34197</v>
      </c>
      <c r="AJ54" s="19" t="n">
        <v>44.31704</v>
      </c>
      <c r="AK54" s="19" t="n">
        <v>39.22399</v>
      </c>
      <c r="AL54" s="19" t="n">
        <v>40.37055</v>
      </c>
      <c r="AM54" s="19" t="n">
        <v>40.61149</v>
      </c>
    </row>
    <row r="55">
      <c r="A55" s="3" t="inlineStr">
        <is>
          <t>R11</t>
        </is>
      </c>
      <c r="B55" s="3" t="inlineStr">
        <is>
          <t>서울피부과</t>
        </is>
      </c>
      <c r="C55" s="18" t="inlineStr">
        <is>
          <t>앵커</t>
        </is>
      </c>
      <c r="D55" s="19" t="n">
        <v>86.35007</v>
      </c>
      <c r="E55" s="19" t="n">
        <v>91.25702</v>
      </c>
      <c r="F55" s="19" t="n">
        <v>76.14991999999999</v>
      </c>
      <c r="G55" s="19" t="n">
        <v>77.12429</v>
      </c>
      <c r="H55" s="19" t="n">
        <v>91.17801</v>
      </c>
      <c r="I55" s="19" t="n">
        <v>90.85323</v>
      </c>
      <c r="J55" s="19" t="n">
        <v>89.99297</v>
      </c>
      <c r="K55" s="19" t="n">
        <v>88.08813000000001</v>
      </c>
      <c r="L55" s="19" t="n">
        <v>92.55616999999999</v>
      </c>
      <c r="M55" s="19" t="n">
        <v>85.20891</v>
      </c>
      <c r="N55" s="19" t="n">
        <v>99.81565999999999</v>
      </c>
      <c r="O55" s="19" t="n">
        <v>100</v>
      </c>
      <c r="P55" s="19" t="n">
        <v>89.09761</v>
      </c>
      <c r="Q55" s="19" t="n">
        <v>83.90098</v>
      </c>
      <c r="R55" s="19" t="n">
        <v>75.24578</v>
      </c>
      <c r="S55" s="19" t="n">
        <v>76.44838</v>
      </c>
      <c r="T55" s="19" t="n">
        <v>93.11797</v>
      </c>
      <c r="U55" s="19" t="n">
        <v>84.18188000000001</v>
      </c>
      <c r="V55" s="19" t="n">
        <v>84.02387</v>
      </c>
      <c r="W55" s="19" t="n">
        <v>80.3283</v>
      </c>
      <c r="X55" s="19" t="n">
        <v>86.08672</v>
      </c>
      <c r="Y55" s="19" t="n">
        <v>83.23384</v>
      </c>
      <c r="Z55" s="19" t="n">
        <v>90.68644</v>
      </c>
      <c r="AA55" s="19" t="n">
        <v>91.0639</v>
      </c>
      <c r="AB55" s="19" t="n">
        <v>77.46664</v>
      </c>
      <c r="AC55" s="19" t="n">
        <v>84.96313000000001</v>
      </c>
      <c r="AD55" s="19" t="n">
        <v>63.72015</v>
      </c>
      <c r="AE55" s="19" t="n">
        <v>69.9087</v>
      </c>
      <c r="AF55" s="19" t="n">
        <v>75.49157</v>
      </c>
      <c r="AG55" s="19" t="n">
        <v>71.06741</v>
      </c>
      <c r="AH55" s="19" t="n">
        <v>69.54002</v>
      </c>
      <c r="AI55" s="19" t="n">
        <v>69.25912</v>
      </c>
      <c r="AJ55" s="19" t="n">
        <v>71.62921</v>
      </c>
      <c r="AK55" s="19" t="n">
        <v>69.72436</v>
      </c>
      <c r="AL55" s="19" t="n">
        <v>75.43012</v>
      </c>
      <c r="AM55" s="19" t="n">
        <v>75.39501</v>
      </c>
    </row>
    <row r="56">
      <c r="A56" s="3" t="inlineStr">
        <is>
          <t>R11</t>
        </is>
      </c>
      <c r="B56" s="3" t="inlineStr">
        <is>
          <t>서울내과</t>
        </is>
      </c>
      <c r="C56" s="18" t="inlineStr"/>
      <c r="D56" s="19" t="n">
        <v>64.17661</v>
      </c>
      <c r="E56" s="19" t="n">
        <v>87.99157</v>
      </c>
      <c r="F56" s="19" t="n">
        <v>80.8462</v>
      </c>
      <c r="G56" s="19" t="n">
        <v>97.40168</v>
      </c>
      <c r="H56" s="19" t="n">
        <v>76.29037</v>
      </c>
      <c r="I56" s="19" t="n">
        <v>66.22190999999999</v>
      </c>
      <c r="J56" s="19" t="n">
        <v>65.24754</v>
      </c>
      <c r="K56" s="19" t="n">
        <v>62.63167</v>
      </c>
      <c r="L56" s="19" t="n">
        <v>65.51088</v>
      </c>
      <c r="M56" s="19" t="n">
        <v>60.99016</v>
      </c>
      <c r="N56" s="19" t="n">
        <v>68.74122</v>
      </c>
      <c r="O56" s="19" t="n">
        <v>78.65168</v>
      </c>
      <c r="P56" s="19" t="n">
        <v>63.93082</v>
      </c>
      <c r="Q56" s="19" t="n">
        <v>72.84058</v>
      </c>
      <c r="R56" s="19" t="n">
        <v>66.2658</v>
      </c>
      <c r="S56" s="19" t="n">
        <v>74.63132</v>
      </c>
      <c r="T56" s="19" t="n">
        <v>76.76439000000001</v>
      </c>
      <c r="U56" s="19" t="n">
        <v>54.16081</v>
      </c>
      <c r="V56" s="19" t="n">
        <v>60.40203</v>
      </c>
      <c r="W56" s="19" t="n">
        <v>54.27492</v>
      </c>
      <c r="X56" s="19" t="n">
        <v>55.66186</v>
      </c>
      <c r="Y56" s="19" t="n">
        <v>50.35112</v>
      </c>
      <c r="Z56" s="19" t="n">
        <v>53.01966</v>
      </c>
      <c r="AA56" s="19" t="n">
        <v>57.70716</v>
      </c>
      <c r="AB56" s="19" t="n">
        <v>57.37359</v>
      </c>
      <c r="AC56" s="19" t="n">
        <v>66.08146000000001</v>
      </c>
      <c r="AD56" s="19" t="n">
        <v>63.88693</v>
      </c>
      <c r="AE56" s="19" t="n">
        <v>61.86797</v>
      </c>
      <c r="AF56" s="19" t="n">
        <v>53.30933</v>
      </c>
      <c r="AG56" s="19" t="n">
        <v>50.43012</v>
      </c>
      <c r="AH56" s="19" t="n">
        <v>49.62254</v>
      </c>
      <c r="AI56" s="19" t="n">
        <v>46.64676</v>
      </c>
      <c r="AJ56" s="19" t="n">
        <v>47.7528</v>
      </c>
      <c r="AK56" s="19" t="n">
        <v>45.30372</v>
      </c>
      <c r="AL56" s="19" t="n">
        <v>49.56987</v>
      </c>
      <c r="AM56" s="19" t="n">
        <v>54.79283</v>
      </c>
    </row>
    <row r="57">
      <c r="A57" s="3" t="inlineStr">
        <is>
          <t>R11</t>
        </is>
      </c>
      <c r="B57" s="3" t="inlineStr">
        <is>
          <t>부산내과</t>
        </is>
      </c>
      <c r="C57" s="18" t="inlineStr"/>
      <c r="D57" s="19" t="n">
        <v>18.33742</v>
      </c>
      <c r="E57" s="19" t="n">
        <v>20.93574</v>
      </c>
      <c r="F57" s="19" t="n">
        <v>17.67029</v>
      </c>
      <c r="G57" s="19" t="n">
        <v>23.50772</v>
      </c>
      <c r="H57" s="19" t="n">
        <v>19.43469</v>
      </c>
      <c r="I57" s="19" t="n">
        <v>19.23279</v>
      </c>
      <c r="J57" s="19" t="n">
        <v>16.30091</v>
      </c>
      <c r="K57" s="19" t="n">
        <v>15.28265</v>
      </c>
      <c r="L57" s="19" t="n">
        <v>17.30161</v>
      </c>
      <c r="M57" s="19" t="n">
        <v>15.22998</v>
      </c>
      <c r="N57" s="19" t="n">
        <v>17.35428</v>
      </c>
      <c r="O57" s="19" t="n">
        <v>19.73314</v>
      </c>
      <c r="P57" s="19" t="n">
        <v>15.84445</v>
      </c>
      <c r="Q57" s="19" t="n">
        <v>16.37991</v>
      </c>
      <c r="R57" s="19" t="n">
        <v>14.0625</v>
      </c>
      <c r="S57" s="19" t="n">
        <v>18.88167</v>
      </c>
      <c r="T57" s="19" t="n">
        <v>23.13904</v>
      </c>
      <c r="U57" s="19" t="n">
        <v>14.29073</v>
      </c>
      <c r="V57" s="19" t="n">
        <v>16.19557</v>
      </c>
      <c r="W57" s="19" t="n">
        <v>14.60674</v>
      </c>
      <c r="X57" s="19" t="n">
        <v>17.09971</v>
      </c>
      <c r="Y57" s="19" t="n">
        <v>13.05301</v>
      </c>
      <c r="Z57" s="19" t="n">
        <v>12.14887</v>
      </c>
      <c r="AA57" s="19" t="n">
        <v>13.73771</v>
      </c>
      <c r="AB57" s="19" t="n">
        <v>13.72015</v>
      </c>
      <c r="AC57" s="19" t="n">
        <v>17.77563</v>
      </c>
      <c r="AD57" s="19" t="n">
        <v>12.75456</v>
      </c>
      <c r="AE57" s="19" t="n">
        <v>13.77282</v>
      </c>
      <c r="AF57" s="19" t="n">
        <v>14.00983</v>
      </c>
      <c r="AG57" s="19" t="n">
        <v>19.24157</v>
      </c>
      <c r="AH57" s="19" t="n">
        <v>13.91327</v>
      </c>
      <c r="AI57" s="19" t="n">
        <v>13.11446</v>
      </c>
      <c r="AJ57" s="19" t="n">
        <v>15.15098</v>
      </c>
      <c r="AK57" s="19" t="n">
        <v>11.16573</v>
      </c>
      <c r="AL57" s="19" t="n">
        <v>12.06987</v>
      </c>
      <c r="AM57" s="19" t="n">
        <v>12.74578</v>
      </c>
    </row>
    <row r="58">
      <c r="A58" s="3" t="inlineStr">
        <is>
          <t>R11</t>
        </is>
      </c>
      <c r="B58" s="3" t="inlineStr">
        <is>
          <t>대구내과</t>
        </is>
      </c>
      <c r="C58" s="18" t="inlineStr"/>
      <c r="D58" s="19" t="n">
        <v>20.62851</v>
      </c>
      <c r="E58" s="19" t="n">
        <v>24.58742</v>
      </c>
      <c r="F58" s="19" t="n">
        <v>19.06601</v>
      </c>
      <c r="G58" s="19" t="n">
        <v>28.08988</v>
      </c>
      <c r="H58" s="19" t="n">
        <v>24.64887</v>
      </c>
      <c r="I58" s="19" t="n">
        <v>24.06074</v>
      </c>
      <c r="J58" s="19" t="n">
        <v>19.36446</v>
      </c>
      <c r="K58" s="19" t="n">
        <v>18.42521</v>
      </c>
      <c r="L58" s="19" t="n">
        <v>20.07549</v>
      </c>
      <c r="M58" s="19" t="n">
        <v>17.39817</v>
      </c>
      <c r="N58" s="19" t="n">
        <v>17.33672</v>
      </c>
      <c r="O58" s="19" t="n">
        <v>21.34831</v>
      </c>
      <c r="P58" s="19" t="n">
        <v>21.65554</v>
      </c>
      <c r="Q58" s="19" t="n">
        <v>20.43539</v>
      </c>
      <c r="R58" s="19" t="n">
        <v>17.7054</v>
      </c>
      <c r="S58" s="19" t="n">
        <v>22.84058</v>
      </c>
      <c r="T58" s="19" t="n">
        <v>27.14185</v>
      </c>
      <c r="U58" s="19" t="n">
        <v>14.71207</v>
      </c>
      <c r="V58" s="19" t="n">
        <v>18.14431</v>
      </c>
      <c r="W58" s="19" t="n">
        <v>14.58918</v>
      </c>
      <c r="X58" s="19" t="n">
        <v>16.46769</v>
      </c>
      <c r="Y58" s="19" t="n">
        <v>15.49332</v>
      </c>
      <c r="Z58" s="19" t="n">
        <v>12.49122</v>
      </c>
      <c r="AA58" s="19" t="n">
        <v>14.95786</v>
      </c>
      <c r="AB58" s="19" t="n">
        <v>13.55337</v>
      </c>
      <c r="AC58" s="19" t="n">
        <v>23.55161</v>
      </c>
      <c r="AD58" s="19" t="n">
        <v>16.84515</v>
      </c>
      <c r="AE58" s="19" t="n">
        <v>17.80196</v>
      </c>
      <c r="AF58" s="19" t="n">
        <v>17.38061</v>
      </c>
      <c r="AG58" s="19" t="n">
        <v>24.82443</v>
      </c>
      <c r="AH58" s="19" t="n">
        <v>15.783</v>
      </c>
      <c r="AI58" s="19" t="n">
        <v>13.43925</v>
      </c>
      <c r="AJ58" s="19" t="n">
        <v>17.9863</v>
      </c>
      <c r="AK58" s="19" t="n">
        <v>14.26439</v>
      </c>
      <c r="AL58" s="19" t="n">
        <v>14.29073</v>
      </c>
      <c r="AM58" s="19" t="n">
        <v>16.30969</v>
      </c>
    </row>
    <row r="59">
      <c r="A59" s="3" t="inlineStr">
        <is>
          <t>R11</t>
        </is>
      </c>
      <c r="B59" s="3" t="inlineStr">
        <is>
          <t>인천내과</t>
        </is>
      </c>
      <c r="C59" s="18" t="inlineStr"/>
      <c r="D59" s="19" t="n">
        <v>10.78827</v>
      </c>
      <c r="E59" s="19" t="n">
        <v>11.06917</v>
      </c>
      <c r="F59" s="19" t="n">
        <v>9.901680000000001</v>
      </c>
      <c r="G59" s="19" t="n">
        <v>12.64044</v>
      </c>
      <c r="H59" s="19" t="n">
        <v>11.13061</v>
      </c>
      <c r="I59" s="19" t="n">
        <v>11.27106</v>
      </c>
      <c r="J59" s="19" t="n">
        <v>9.35744</v>
      </c>
      <c r="K59" s="19" t="n">
        <v>10.4547</v>
      </c>
      <c r="L59" s="19" t="n">
        <v>13.47436</v>
      </c>
      <c r="M59" s="19" t="n">
        <v>8.532299999999999</v>
      </c>
      <c r="N59" s="19" t="n">
        <v>9.2521</v>
      </c>
      <c r="O59" s="19" t="n">
        <v>10.77949</v>
      </c>
      <c r="P59" s="19" t="n">
        <v>9.375</v>
      </c>
      <c r="Q59" s="19" t="n">
        <v>9.015090000000001</v>
      </c>
      <c r="R59" s="19" t="n">
        <v>6.73279</v>
      </c>
      <c r="S59" s="19" t="n">
        <v>9.50667</v>
      </c>
      <c r="T59" s="19" t="n">
        <v>12.3771</v>
      </c>
      <c r="U59" s="19" t="n">
        <v>7.28581</v>
      </c>
      <c r="V59" s="19" t="n">
        <v>9.216989999999999</v>
      </c>
      <c r="W59" s="19" t="n">
        <v>7.11903</v>
      </c>
      <c r="X59" s="19" t="n">
        <v>8.225070000000001</v>
      </c>
      <c r="Y59" s="19" t="n">
        <v>7.11903</v>
      </c>
      <c r="Z59" s="19" t="n">
        <v>7.03125</v>
      </c>
      <c r="AA59" s="19" t="n">
        <v>7.33848</v>
      </c>
      <c r="AB59" s="19" t="n">
        <v>13.26369</v>
      </c>
      <c r="AC59" s="19" t="n">
        <v>12.9389</v>
      </c>
      <c r="AD59" s="19" t="n">
        <v>11.74508</v>
      </c>
      <c r="AE59" s="19" t="n">
        <v>12.94768</v>
      </c>
      <c r="AF59" s="19" t="n">
        <v>12.34199</v>
      </c>
      <c r="AG59" s="19" t="n">
        <v>10.84971</v>
      </c>
      <c r="AH59" s="19" t="n">
        <v>6.79424</v>
      </c>
      <c r="AI59" s="19" t="n">
        <v>6.53967</v>
      </c>
      <c r="AJ59" s="19" t="n">
        <v>7.17169</v>
      </c>
      <c r="AK59" s="19" t="n">
        <v>5.92521</v>
      </c>
      <c r="AL59" s="19" t="n">
        <v>6.59234</v>
      </c>
      <c r="AM59" s="19" t="n">
        <v>6.6889</v>
      </c>
    </row>
    <row r="60">
      <c r="A60" s="3" t="inlineStr">
        <is>
          <t>R12</t>
        </is>
      </c>
      <c r="B60" s="3" t="inlineStr">
        <is>
          <t>서울피부과</t>
        </is>
      </c>
      <c r="C60" s="18" t="inlineStr">
        <is>
          <t>앵커</t>
        </is>
      </c>
      <c r="D60" s="19" t="n">
        <v>86.35007</v>
      </c>
      <c r="E60" s="19" t="n">
        <v>91.25702</v>
      </c>
      <c r="F60" s="19" t="n">
        <v>76.14991999999999</v>
      </c>
      <c r="G60" s="19" t="n">
        <v>77.12429</v>
      </c>
      <c r="H60" s="19" t="n">
        <v>91.17801</v>
      </c>
      <c r="I60" s="19" t="n">
        <v>90.85323</v>
      </c>
      <c r="J60" s="19" t="n">
        <v>89.99297</v>
      </c>
      <c r="K60" s="19" t="n">
        <v>88.08813000000001</v>
      </c>
      <c r="L60" s="19" t="n">
        <v>92.55616999999999</v>
      </c>
      <c r="M60" s="19" t="n">
        <v>85.20891</v>
      </c>
      <c r="N60" s="19" t="n">
        <v>99.81565999999999</v>
      </c>
      <c r="O60" s="19" t="n">
        <v>100</v>
      </c>
      <c r="P60" s="19" t="n">
        <v>89.09761</v>
      </c>
      <c r="Q60" s="19" t="n">
        <v>83.90098</v>
      </c>
      <c r="R60" s="19" t="n">
        <v>75.24578</v>
      </c>
      <c r="S60" s="19" t="n">
        <v>76.44838</v>
      </c>
      <c r="T60" s="19" t="n">
        <v>93.11797</v>
      </c>
      <c r="U60" s="19" t="n">
        <v>84.18188000000001</v>
      </c>
      <c r="V60" s="19" t="n">
        <v>84.02387</v>
      </c>
      <c r="W60" s="19" t="n">
        <v>80.3283</v>
      </c>
      <c r="X60" s="19" t="n">
        <v>86.08672</v>
      </c>
      <c r="Y60" s="19" t="n">
        <v>83.23384</v>
      </c>
      <c r="Z60" s="19" t="n">
        <v>90.68644</v>
      </c>
      <c r="AA60" s="19" t="n">
        <v>91.0639</v>
      </c>
      <c r="AB60" s="19" t="n">
        <v>77.46664</v>
      </c>
      <c r="AC60" s="19" t="n">
        <v>84.96313000000001</v>
      </c>
      <c r="AD60" s="19" t="n">
        <v>63.72015</v>
      </c>
      <c r="AE60" s="19" t="n">
        <v>69.9087</v>
      </c>
      <c r="AF60" s="19" t="n">
        <v>75.49157</v>
      </c>
      <c r="AG60" s="19" t="n">
        <v>71.06741</v>
      </c>
      <c r="AH60" s="19" t="n">
        <v>69.54002</v>
      </c>
      <c r="AI60" s="19" t="n">
        <v>69.25912</v>
      </c>
      <c r="AJ60" s="19" t="n">
        <v>71.62921</v>
      </c>
      <c r="AK60" s="19" t="n">
        <v>69.72436</v>
      </c>
      <c r="AL60" s="19" t="n">
        <v>75.43012</v>
      </c>
      <c r="AM60" s="19" t="n">
        <v>75.39501</v>
      </c>
    </row>
    <row r="61">
      <c r="A61" s="3" t="inlineStr">
        <is>
          <t>R12</t>
        </is>
      </c>
      <c r="B61" s="3" t="inlineStr">
        <is>
          <t>광주내과</t>
        </is>
      </c>
      <c r="C61" s="18" t="inlineStr"/>
      <c r="D61" s="19" t="n">
        <v>16.58181</v>
      </c>
      <c r="E61" s="19" t="n">
        <v>18.09164</v>
      </c>
      <c r="F61" s="19" t="n">
        <v>15.55477</v>
      </c>
      <c r="G61" s="19" t="n">
        <v>18.81144</v>
      </c>
      <c r="H61" s="19" t="n">
        <v>17.93363</v>
      </c>
      <c r="I61" s="19" t="n">
        <v>17.35428</v>
      </c>
      <c r="J61" s="19" t="n">
        <v>15.56355</v>
      </c>
      <c r="K61" s="19" t="n">
        <v>15.84445</v>
      </c>
      <c r="L61" s="19" t="n">
        <v>16.7047</v>
      </c>
      <c r="M61" s="19" t="n">
        <v>14.68574</v>
      </c>
      <c r="N61" s="19" t="n">
        <v>15.10709</v>
      </c>
      <c r="O61" s="19" t="n">
        <v>18.39887</v>
      </c>
      <c r="P61" s="19" t="n">
        <v>17.02071</v>
      </c>
      <c r="Q61" s="19" t="n">
        <v>15.56355</v>
      </c>
      <c r="R61" s="19" t="n">
        <v>14.60674</v>
      </c>
      <c r="S61" s="19" t="n">
        <v>18.46032</v>
      </c>
      <c r="T61" s="19" t="n">
        <v>20.94452</v>
      </c>
      <c r="U61" s="19" t="n">
        <v>12.56144</v>
      </c>
      <c r="V61" s="19" t="n">
        <v>14.34339</v>
      </c>
      <c r="W61" s="19" t="n">
        <v>13.05301</v>
      </c>
      <c r="X61" s="19" t="n">
        <v>14.0625</v>
      </c>
      <c r="Y61" s="19" t="n">
        <v>12.26299</v>
      </c>
      <c r="Z61" s="19" t="n">
        <v>12.24543</v>
      </c>
      <c r="AA61" s="19" t="n">
        <v>13.94838</v>
      </c>
      <c r="AB61" s="19" t="n">
        <v>12.93012</v>
      </c>
      <c r="AC61" s="19" t="n">
        <v>16.81882</v>
      </c>
      <c r="AD61" s="19" t="n">
        <v>14.18539</v>
      </c>
      <c r="AE61" s="19" t="n">
        <v>13.2198</v>
      </c>
      <c r="AF61" s="19" t="n">
        <v>14.65063</v>
      </c>
      <c r="AG61" s="19" t="n">
        <v>16.76615</v>
      </c>
      <c r="AH61" s="19" t="n">
        <v>14.15905</v>
      </c>
      <c r="AI61" s="19" t="n">
        <v>14.11516</v>
      </c>
      <c r="AJ61" s="19" t="n">
        <v>16.88026</v>
      </c>
      <c r="AK61" s="19" t="n">
        <v>13.53581</v>
      </c>
      <c r="AL61" s="19" t="n">
        <v>12.40344</v>
      </c>
      <c r="AM61" s="19" t="n">
        <v>14.10639</v>
      </c>
    </row>
    <row r="62">
      <c r="A62" s="3" t="inlineStr">
        <is>
          <t>R12</t>
        </is>
      </c>
      <c r="B62" s="3" t="inlineStr">
        <is>
          <t>대전내과</t>
        </is>
      </c>
      <c r="C62" s="18" t="inlineStr"/>
      <c r="D62" s="19" t="n">
        <v>30.07373</v>
      </c>
      <c r="E62" s="19" t="n">
        <v>34.84901</v>
      </c>
      <c r="F62" s="19" t="n">
        <v>27.80021</v>
      </c>
      <c r="G62" s="19" t="n">
        <v>38.13202</v>
      </c>
      <c r="H62" s="19" t="n">
        <v>33.70786</v>
      </c>
      <c r="I62" s="19" t="n">
        <v>33.76931</v>
      </c>
      <c r="J62" s="19" t="n">
        <v>28.89747</v>
      </c>
      <c r="K62" s="19" t="n">
        <v>28.03721</v>
      </c>
      <c r="L62" s="19" t="n">
        <v>32.35603</v>
      </c>
      <c r="M62" s="19" t="n">
        <v>28.87991</v>
      </c>
      <c r="N62" s="19" t="n">
        <v>30.28441</v>
      </c>
      <c r="O62" s="19" t="n">
        <v>34.23455</v>
      </c>
      <c r="P62" s="19" t="n">
        <v>33.76931</v>
      </c>
      <c r="Q62" s="19" t="n">
        <v>30.17907</v>
      </c>
      <c r="R62" s="19" t="n">
        <v>24.89466</v>
      </c>
      <c r="S62" s="19" t="n">
        <v>31.9698</v>
      </c>
      <c r="T62" s="19" t="n">
        <v>37.44733</v>
      </c>
      <c r="U62" s="19" t="n">
        <v>22.04178</v>
      </c>
      <c r="V62" s="19" t="n">
        <v>24.86832</v>
      </c>
      <c r="W62" s="19" t="n">
        <v>21.10252</v>
      </c>
      <c r="X62" s="19" t="n">
        <v>24.20997</v>
      </c>
      <c r="Y62" s="19" t="n">
        <v>24.38553</v>
      </c>
      <c r="Z62" s="19" t="n">
        <v>20.57584</v>
      </c>
      <c r="AA62" s="19" t="n">
        <v>23.04248</v>
      </c>
      <c r="AB62" s="19" t="n">
        <v>21.76088</v>
      </c>
      <c r="AC62" s="19" t="n">
        <v>28.29178</v>
      </c>
      <c r="AD62" s="19" t="n">
        <v>22.77914</v>
      </c>
      <c r="AE62" s="19" t="n">
        <v>22.37535</v>
      </c>
      <c r="AF62" s="19" t="n">
        <v>21.97155</v>
      </c>
      <c r="AG62" s="19" t="n">
        <v>26.82584</v>
      </c>
      <c r="AH62" s="19" t="n">
        <v>23.49016</v>
      </c>
      <c r="AI62" s="19" t="n">
        <v>20.12816</v>
      </c>
      <c r="AJ62" s="19" t="n">
        <v>24.38553</v>
      </c>
      <c r="AK62" s="19" t="n">
        <v>22.18223</v>
      </c>
      <c r="AL62" s="19" t="n">
        <v>21.58532</v>
      </c>
      <c r="AM62" s="19" t="n">
        <v>22.36657</v>
      </c>
    </row>
    <row r="63">
      <c r="A63" s="3" t="inlineStr">
        <is>
          <t>R12</t>
        </is>
      </c>
      <c r="B63" s="3" t="inlineStr">
        <is>
          <t>울산내과</t>
        </is>
      </c>
      <c r="C63" s="18" t="inlineStr"/>
      <c r="D63" s="19" t="n">
        <v>26.00948</v>
      </c>
      <c r="E63" s="19" t="n">
        <v>31.08321</v>
      </c>
      <c r="F63" s="19" t="n">
        <v>28.27422</v>
      </c>
      <c r="G63" s="19" t="n">
        <v>37.41221</v>
      </c>
      <c r="H63" s="19" t="n">
        <v>34.40133</v>
      </c>
      <c r="I63" s="19" t="n">
        <v>28.97647</v>
      </c>
      <c r="J63" s="19" t="n">
        <v>24.30653</v>
      </c>
      <c r="K63" s="19" t="n">
        <v>23.99051</v>
      </c>
      <c r="L63" s="19" t="n">
        <v>26.76439</v>
      </c>
      <c r="M63" s="19" t="n">
        <v>20.97963</v>
      </c>
      <c r="N63" s="19" t="n">
        <v>23.70084</v>
      </c>
      <c r="O63" s="19" t="n">
        <v>28.26544</v>
      </c>
      <c r="P63" s="19" t="n">
        <v>22.91959</v>
      </c>
      <c r="Q63" s="19" t="n">
        <v>23.2356</v>
      </c>
      <c r="R63" s="19" t="n">
        <v>20.11938</v>
      </c>
      <c r="S63" s="19" t="n">
        <v>26.04459</v>
      </c>
      <c r="T63" s="19" t="n">
        <v>37.2191</v>
      </c>
      <c r="U63" s="19" t="n">
        <v>19.09234</v>
      </c>
      <c r="V63" s="19" t="n">
        <v>21.1113</v>
      </c>
      <c r="W63" s="19" t="n">
        <v>19.85603</v>
      </c>
      <c r="X63" s="19" t="n">
        <v>19.19768</v>
      </c>
      <c r="Y63" s="19" t="n">
        <v>17.89852</v>
      </c>
      <c r="Z63" s="19" t="n">
        <v>16.58181</v>
      </c>
      <c r="AA63" s="19" t="n">
        <v>18.53932</v>
      </c>
      <c r="AB63" s="19" t="n">
        <v>15.27387</v>
      </c>
      <c r="AC63" s="19" t="n">
        <v>23.26193</v>
      </c>
      <c r="AD63" s="19" t="n">
        <v>18.58321</v>
      </c>
      <c r="AE63" s="19" t="n">
        <v>17.89852</v>
      </c>
      <c r="AF63" s="19" t="n">
        <v>21.1903</v>
      </c>
      <c r="AG63" s="19" t="n">
        <v>25.19311</v>
      </c>
      <c r="AH63" s="19" t="n">
        <v>18.13553</v>
      </c>
      <c r="AI63" s="19" t="n">
        <v>16.28335</v>
      </c>
      <c r="AJ63" s="19" t="n">
        <v>20.33883</v>
      </c>
      <c r="AK63" s="19" t="n">
        <v>17.74929</v>
      </c>
      <c r="AL63" s="19" t="n">
        <v>16.69592</v>
      </c>
      <c r="AM63" s="19" t="n">
        <v>16.82759</v>
      </c>
    </row>
    <row r="64">
      <c r="A64" s="3" t="inlineStr">
        <is>
          <t>R12</t>
        </is>
      </c>
      <c r="B64" s="3" t="inlineStr">
        <is>
          <t>수원내과</t>
        </is>
      </c>
      <c r="C64" s="18" t="inlineStr"/>
      <c r="D64" s="19" t="n">
        <v>17.80196</v>
      </c>
      <c r="E64" s="19" t="n">
        <v>20.37394</v>
      </c>
      <c r="F64" s="19" t="n">
        <v>17.81074</v>
      </c>
      <c r="G64" s="19" t="n">
        <v>22.85814</v>
      </c>
      <c r="H64" s="19" t="n">
        <v>20.4705</v>
      </c>
      <c r="I64" s="19" t="n">
        <v>19.14501</v>
      </c>
      <c r="J64" s="19" t="n">
        <v>17.0646</v>
      </c>
      <c r="K64" s="19" t="n">
        <v>14.57162</v>
      </c>
      <c r="L64" s="19" t="n">
        <v>15.75667</v>
      </c>
      <c r="M64" s="19" t="n">
        <v>15.75667</v>
      </c>
      <c r="N64" s="19" t="n">
        <v>17.05582</v>
      </c>
      <c r="O64" s="19" t="n">
        <v>19.85603</v>
      </c>
      <c r="P64" s="19" t="n">
        <v>17.29283</v>
      </c>
      <c r="Q64" s="19" t="n">
        <v>17.83707</v>
      </c>
      <c r="R64" s="19" t="n">
        <v>14.36973</v>
      </c>
      <c r="S64" s="19" t="n">
        <v>18.32865</v>
      </c>
      <c r="T64" s="19" t="n">
        <v>22.73525</v>
      </c>
      <c r="U64" s="19" t="n">
        <v>12.28932</v>
      </c>
      <c r="V64" s="19" t="n">
        <v>14.56285</v>
      </c>
      <c r="W64" s="19" t="n">
        <v>12.10498</v>
      </c>
      <c r="X64" s="19" t="n">
        <v>19.35568</v>
      </c>
      <c r="Y64" s="19" t="n">
        <v>21.61165</v>
      </c>
      <c r="Z64" s="19" t="n">
        <v>21.81355</v>
      </c>
      <c r="AA64" s="19" t="n">
        <v>19.1099</v>
      </c>
      <c r="AB64" s="19" t="n">
        <v>14.53651</v>
      </c>
      <c r="AC64" s="19" t="n">
        <v>18.09164</v>
      </c>
      <c r="AD64" s="19" t="n">
        <v>16.43258</v>
      </c>
      <c r="AE64" s="19" t="n">
        <v>22.73525</v>
      </c>
      <c r="AF64" s="19" t="n">
        <v>34.12043</v>
      </c>
      <c r="AG64" s="19" t="n">
        <v>19.35568</v>
      </c>
      <c r="AH64" s="19" t="n">
        <v>14.44873</v>
      </c>
      <c r="AI64" s="19" t="n">
        <v>13.79037</v>
      </c>
      <c r="AJ64" s="19" t="n">
        <v>13.44803</v>
      </c>
      <c r="AK64" s="19" t="n">
        <v>13.26369</v>
      </c>
      <c r="AL64" s="19" t="n">
        <v>25.4389</v>
      </c>
      <c r="AM64" s="19" t="n">
        <v>14.67696</v>
      </c>
    </row>
    <row r="65">
      <c r="A65" s="3" t="inlineStr">
        <is>
          <t>R13</t>
        </is>
      </c>
      <c r="B65" s="3" t="inlineStr">
        <is>
          <t>서울피부과</t>
        </is>
      </c>
      <c r="C65" s="18" t="inlineStr">
        <is>
          <t>앵커</t>
        </is>
      </c>
      <c r="D65" s="19" t="n">
        <v>65.90513</v>
      </c>
      <c r="E65" s="19" t="n">
        <v>69.65027000000001</v>
      </c>
      <c r="F65" s="19" t="n">
        <v>58.12005</v>
      </c>
      <c r="G65" s="19" t="n">
        <v>58.86372</v>
      </c>
      <c r="H65" s="19" t="n">
        <v>69.58996999999999</v>
      </c>
      <c r="I65" s="19" t="n">
        <v>69.34208</v>
      </c>
      <c r="J65" s="19" t="n">
        <v>68.68550999999999</v>
      </c>
      <c r="K65" s="19" t="n">
        <v>67.23166999999999</v>
      </c>
      <c r="L65" s="19" t="n">
        <v>70.64183</v>
      </c>
      <c r="M65" s="19" t="n">
        <v>65.03416</v>
      </c>
      <c r="N65" s="19" t="n">
        <v>76.1825</v>
      </c>
      <c r="O65" s="19" t="n">
        <v>76.32319</v>
      </c>
      <c r="P65" s="19" t="n">
        <v>68.00214</v>
      </c>
      <c r="Q65" s="19" t="n">
        <v>64.03591</v>
      </c>
      <c r="R65" s="19" t="n">
        <v>57.42998</v>
      </c>
      <c r="S65" s="19" t="n">
        <v>58.34784</v>
      </c>
      <c r="T65" s="19" t="n">
        <v>71.07061</v>
      </c>
      <c r="U65" s="19" t="n">
        <v>64.2503</v>
      </c>
      <c r="V65" s="19" t="n">
        <v>64.1297</v>
      </c>
      <c r="W65" s="19" t="n">
        <v>61.30912</v>
      </c>
      <c r="X65" s="19" t="n">
        <v>65.70414</v>
      </c>
      <c r="Y65" s="19" t="n">
        <v>63.52673</v>
      </c>
      <c r="Z65" s="19" t="n">
        <v>69.21478999999999</v>
      </c>
      <c r="AA65" s="19" t="n">
        <v>69.50288</v>
      </c>
      <c r="AB65" s="19" t="n">
        <v>59.12501</v>
      </c>
      <c r="AC65" s="19" t="n">
        <v>64.84657</v>
      </c>
      <c r="AD65" s="19" t="n">
        <v>48.63325</v>
      </c>
      <c r="AE65" s="19" t="n">
        <v>53.35655</v>
      </c>
      <c r="AF65" s="19" t="n">
        <v>57.61758</v>
      </c>
      <c r="AG65" s="19" t="n">
        <v>54.24092</v>
      </c>
      <c r="AH65" s="19" t="n">
        <v>53.07517</v>
      </c>
      <c r="AI65" s="19" t="n">
        <v>52.86077</v>
      </c>
      <c r="AJ65" s="19" t="n">
        <v>54.6697</v>
      </c>
      <c r="AK65" s="19" t="n">
        <v>53.21586</v>
      </c>
      <c r="AL65" s="19" t="n">
        <v>57.57068</v>
      </c>
      <c r="AM65" s="19" t="n">
        <v>57.54388</v>
      </c>
    </row>
    <row r="66">
      <c r="A66" s="3" t="inlineStr">
        <is>
          <t>R13</t>
        </is>
      </c>
      <c r="B66" s="3" t="inlineStr">
        <is>
          <t>인천안과</t>
        </is>
      </c>
      <c r="C66" s="18" t="inlineStr"/>
      <c r="D66" s="19" t="n">
        <v>12.03269</v>
      </c>
      <c r="E66" s="19" t="n">
        <v>11.11483</v>
      </c>
      <c r="F66" s="19" t="n">
        <v>9.21881</v>
      </c>
      <c r="G66" s="19" t="n">
        <v>10.42476</v>
      </c>
      <c r="H66" s="19" t="n">
        <v>10.19697</v>
      </c>
      <c r="I66" s="19" t="n">
        <v>11.09473</v>
      </c>
      <c r="J66" s="19" t="n">
        <v>12.05279</v>
      </c>
      <c r="K66" s="19" t="n">
        <v>11.14833</v>
      </c>
      <c r="L66" s="19" t="n">
        <v>12.04609</v>
      </c>
      <c r="M66" s="19" t="n">
        <v>10.86024</v>
      </c>
      <c r="N66" s="19" t="n">
        <v>17.38576</v>
      </c>
      <c r="O66" s="19" t="n">
        <v>12.84336</v>
      </c>
      <c r="P66" s="19" t="n">
        <v>13.05105</v>
      </c>
      <c r="Q66" s="19" t="n">
        <v>11.04113</v>
      </c>
      <c r="R66" s="19" t="n">
        <v>9.53369</v>
      </c>
      <c r="S66" s="19" t="n">
        <v>9.989280000000001</v>
      </c>
      <c r="T66" s="19" t="n">
        <v>11.20192</v>
      </c>
      <c r="U66" s="19" t="n">
        <v>11.7446</v>
      </c>
      <c r="V66" s="19" t="n">
        <v>16.78949</v>
      </c>
      <c r="W66" s="19" t="n">
        <v>9.72799</v>
      </c>
      <c r="X66" s="19" t="n">
        <v>10.70615</v>
      </c>
      <c r="Y66" s="19" t="n">
        <v>13.03095</v>
      </c>
      <c r="Z66" s="19" t="n">
        <v>39.61543</v>
      </c>
      <c r="AA66" s="19" t="n">
        <v>14.67908</v>
      </c>
      <c r="AB66" s="19" t="n">
        <v>9.078110000000001</v>
      </c>
      <c r="AC66" s="19" t="n">
        <v>12.09969</v>
      </c>
      <c r="AD66" s="19" t="n">
        <v>8.44164</v>
      </c>
      <c r="AE66" s="19" t="n">
        <v>9.4801</v>
      </c>
      <c r="AF66" s="19" t="n">
        <v>11.8853</v>
      </c>
      <c r="AG66" s="19" t="n">
        <v>10.75974</v>
      </c>
      <c r="AH66" s="19" t="n">
        <v>10.07637</v>
      </c>
      <c r="AI66" s="19" t="n">
        <v>10.38456</v>
      </c>
      <c r="AJ66" s="19" t="n">
        <v>13.93541</v>
      </c>
      <c r="AK66" s="19" t="n">
        <v>10.19697</v>
      </c>
      <c r="AL66" s="19" t="n">
        <v>10.10987</v>
      </c>
      <c r="AM66" s="19" t="n">
        <v>11.41632</v>
      </c>
    </row>
    <row r="67">
      <c r="A67" s="3" t="inlineStr">
        <is>
          <t>R13</t>
        </is>
      </c>
      <c r="B67" s="3" t="inlineStr">
        <is>
          <t>광주안과</t>
        </is>
      </c>
      <c r="C67" s="18" t="inlineStr"/>
      <c r="D67" s="19" t="n">
        <v>71.38549999999999</v>
      </c>
      <c r="E67" s="19" t="n">
        <v>75.82071000000001</v>
      </c>
      <c r="F67" s="19" t="n">
        <v>69.97856</v>
      </c>
      <c r="G67" s="19" t="n">
        <v>80.04152999999999</v>
      </c>
      <c r="H67" s="19" t="n">
        <v>96.93822</v>
      </c>
      <c r="I67" s="19" t="n">
        <v>90.76778</v>
      </c>
      <c r="J67" s="19" t="n">
        <v>82.13855</v>
      </c>
      <c r="K67" s="19" t="n">
        <v>79.43186</v>
      </c>
      <c r="L67" s="19" t="n">
        <v>80.41002</v>
      </c>
      <c r="M67" s="19" t="n">
        <v>76.87257</v>
      </c>
      <c r="N67" s="19" t="n">
        <v>83.2239</v>
      </c>
      <c r="O67" s="19" t="n">
        <v>89.08615</v>
      </c>
      <c r="P67" s="19" t="n">
        <v>80.75839999999999</v>
      </c>
      <c r="Q67" s="19" t="n">
        <v>77.54924</v>
      </c>
      <c r="R67" s="19" t="n">
        <v>79.77354</v>
      </c>
      <c r="S67" s="19" t="n">
        <v>88.75117</v>
      </c>
      <c r="T67" s="19" t="n">
        <v>100</v>
      </c>
      <c r="U67" s="19" t="n">
        <v>92.7978</v>
      </c>
      <c r="V67" s="19" t="n">
        <v>84.71794</v>
      </c>
      <c r="W67" s="19" t="n">
        <v>80.8455</v>
      </c>
      <c r="X67" s="19" t="n">
        <v>81.72986</v>
      </c>
      <c r="Y67" s="19" t="n">
        <v>77.26785</v>
      </c>
      <c r="Z67" s="19" t="n">
        <v>82.95591</v>
      </c>
      <c r="AA67" s="19" t="n">
        <v>85.72289000000001</v>
      </c>
      <c r="AB67" s="19" t="n">
        <v>74.30656999999999</v>
      </c>
      <c r="AC67" s="19" t="n">
        <v>83.78668</v>
      </c>
      <c r="AD67" s="19" t="n">
        <v>71.40560000000001</v>
      </c>
      <c r="AE67" s="19" t="n">
        <v>83.57898</v>
      </c>
      <c r="AF67" s="19" t="n">
        <v>98.49256</v>
      </c>
      <c r="AG67" s="19" t="n">
        <v>84.82513</v>
      </c>
      <c r="AH67" s="19" t="n">
        <v>85.5956</v>
      </c>
      <c r="AI67" s="19" t="n">
        <v>79.25097</v>
      </c>
      <c r="AJ67" s="19" t="n">
        <v>80.01473</v>
      </c>
      <c r="AK67" s="19" t="n">
        <v>78.40009999999999</v>
      </c>
      <c r="AL67" s="19" t="n">
        <v>83.69958</v>
      </c>
      <c r="AM67" s="19" t="n">
        <v>91.14297000000001</v>
      </c>
    </row>
    <row r="68">
      <c r="A68" s="3" t="inlineStr">
        <is>
          <t>R13</t>
        </is>
      </c>
      <c r="B68" s="3" t="inlineStr">
        <is>
          <t>대전안과</t>
        </is>
      </c>
      <c r="C68" s="18" t="inlineStr"/>
      <c r="D68" s="19" t="n">
        <v>43.86305</v>
      </c>
      <c r="E68" s="19" t="n">
        <v>41.46455</v>
      </c>
      <c r="F68" s="19" t="n">
        <v>28.69489</v>
      </c>
      <c r="G68" s="19" t="n">
        <v>45.96006</v>
      </c>
      <c r="H68" s="19" t="n">
        <v>38.57697</v>
      </c>
      <c r="I68" s="19" t="n">
        <v>36.23207</v>
      </c>
      <c r="J68" s="19" t="n">
        <v>48.40546</v>
      </c>
      <c r="K68" s="19" t="n">
        <v>40.473</v>
      </c>
      <c r="L68" s="19" t="n">
        <v>46.04046</v>
      </c>
      <c r="M68" s="19" t="n">
        <v>37.24373</v>
      </c>
      <c r="N68" s="19" t="n">
        <v>39.53503</v>
      </c>
      <c r="O68" s="19" t="n">
        <v>38.29559</v>
      </c>
      <c r="P68" s="19" t="n">
        <v>39.42784</v>
      </c>
      <c r="Q68" s="19" t="n">
        <v>33.51869</v>
      </c>
      <c r="R68" s="19" t="n">
        <v>29.12367</v>
      </c>
      <c r="S68" s="19" t="n">
        <v>28.17231</v>
      </c>
      <c r="T68" s="19" t="n">
        <v>35.88369</v>
      </c>
      <c r="U68" s="19" t="n">
        <v>28.82218</v>
      </c>
      <c r="V68" s="19" t="n">
        <v>33.2239</v>
      </c>
      <c r="W68" s="19" t="n">
        <v>32.50033</v>
      </c>
      <c r="X68" s="19" t="n">
        <v>35.89709</v>
      </c>
      <c r="Y68" s="19" t="n">
        <v>31.13359</v>
      </c>
      <c r="Z68" s="19" t="n">
        <v>28.65469</v>
      </c>
      <c r="AA68" s="19" t="n">
        <v>32.94251</v>
      </c>
      <c r="AB68" s="19" t="n">
        <v>29.94104</v>
      </c>
      <c r="AC68" s="19" t="n">
        <v>39.86332</v>
      </c>
      <c r="AD68" s="19" t="n">
        <v>26.20929</v>
      </c>
      <c r="AE68" s="19" t="n">
        <v>29.35146</v>
      </c>
      <c r="AF68" s="19" t="n">
        <v>27.46884</v>
      </c>
      <c r="AG68" s="19" t="n">
        <v>29.50556</v>
      </c>
      <c r="AH68" s="19" t="n">
        <v>27.73013</v>
      </c>
      <c r="AI68" s="19" t="n">
        <v>29.71325</v>
      </c>
      <c r="AJ68" s="19" t="n">
        <v>29.45196</v>
      </c>
      <c r="AK68" s="19" t="n">
        <v>30.7651</v>
      </c>
      <c r="AL68" s="19" t="n">
        <v>33.53879</v>
      </c>
      <c r="AM68" s="19" t="n">
        <v>34.40305</v>
      </c>
    </row>
    <row r="69">
      <c r="A69" s="3" t="inlineStr">
        <is>
          <t>R13</t>
        </is>
      </c>
      <c r="B69" s="3" t="inlineStr">
        <is>
          <t>울산안과</t>
        </is>
      </c>
      <c r="C69" s="18" t="inlineStr"/>
      <c r="D69" s="19" t="n">
        <v>23.7237</v>
      </c>
      <c r="E69" s="19" t="n">
        <v>24.17258</v>
      </c>
      <c r="F69" s="19" t="n">
        <v>42.00723</v>
      </c>
      <c r="G69" s="19" t="n">
        <v>31.48867</v>
      </c>
      <c r="H69" s="19" t="n">
        <v>27.65643</v>
      </c>
      <c r="I69" s="19" t="n">
        <v>29.63955</v>
      </c>
      <c r="J69" s="19" t="n">
        <v>27.05346</v>
      </c>
      <c r="K69" s="19" t="n">
        <v>26.1892</v>
      </c>
      <c r="L69" s="19" t="n">
        <v>28.00482</v>
      </c>
      <c r="M69" s="19" t="n">
        <v>24.10558</v>
      </c>
      <c r="N69" s="19" t="n">
        <v>23.12742</v>
      </c>
      <c r="O69" s="19" t="n">
        <v>23.7371</v>
      </c>
      <c r="P69" s="19" t="n">
        <v>24.49417</v>
      </c>
      <c r="Q69" s="19" t="n">
        <v>21.98177</v>
      </c>
      <c r="R69" s="19" t="n">
        <v>18.29693</v>
      </c>
      <c r="S69" s="19" t="n">
        <v>20.24654</v>
      </c>
      <c r="T69" s="19" t="n">
        <v>22.63834</v>
      </c>
      <c r="U69" s="19" t="n">
        <v>20.13265</v>
      </c>
      <c r="V69" s="19" t="n">
        <v>21.96167</v>
      </c>
      <c r="W69" s="19" t="n">
        <v>24.36017</v>
      </c>
      <c r="X69" s="19" t="n">
        <v>32.23904</v>
      </c>
      <c r="Y69" s="19" t="n">
        <v>32.05145</v>
      </c>
      <c r="Z69" s="19" t="n">
        <v>24.27978</v>
      </c>
      <c r="AA69" s="19" t="n">
        <v>23.5897</v>
      </c>
      <c r="AB69" s="19" t="n">
        <v>20.40734</v>
      </c>
      <c r="AC69" s="19" t="n">
        <v>26.38349</v>
      </c>
      <c r="AD69" s="19" t="n">
        <v>18.853</v>
      </c>
      <c r="AE69" s="19" t="n">
        <v>26.32319</v>
      </c>
      <c r="AF69" s="19" t="n">
        <v>37.14323</v>
      </c>
      <c r="AG69" s="19" t="n">
        <v>43.16628</v>
      </c>
      <c r="AH69" s="19" t="n">
        <v>44.02385</v>
      </c>
      <c r="AI69" s="19" t="n">
        <v>37.9807</v>
      </c>
      <c r="AJ69" s="19" t="n">
        <v>25.17084</v>
      </c>
      <c r="AK69" s="19" t="n">
        <v>27.78373</v>
      </c>
      <c r="AL69" s="19" t="n">
        <v>21.69368</v>
      </c>
      <c r="AM69" s="19" t="n">
        <v>22.08897</v>
      </c>
    </row>
    <row r="70">
      <c r="A70" s="3" t="inlineStr">
        <is>
          <t>R14</t>
        </is>
      </c>
      <c r="B70" s="3" t="inlineStr">
        <is>
          <t>서울피부과</t>
        </is>
      </c>
      <c r="C70" s="18" t="inlineStr">
        <is>
          <t>앵커</t>
        </is>
      </c>
      <c r="D70" s="19" t="n">
        <v>76.89361</v>
      </c>
      <c r="E70" s="19" t="n">
        <v>81.26318999999999</v>
      </c>
      <c r="F70" s="19" t="n">
        <v>67.81052</v>
      </c>
      <c r="G70" s="19" t="n">
        <v>68.67818</v>
      </c>
      <c r="H70" s="19" t="n">
        <v>81.19283</v>
      </c>
      <c r="I70" s="19" t="n">
        <v>80.90361</v>
      </c>
      <c r="J70" s="19" t="n">
        <v>80.13757</v>
      </c>
      <c r="K70" s="19" t="n">
        <v>78.44132999999999</v>
      </c>
      <c r="L70" s="19" t="n">
        <v>82.42007</v>
      </c>
      <c r="M70" s="19" t="n">
        <v>75.87743</v>
      </c>
      <c r="N70" s="19" t="n">
        <v>88.88454</v>
      </c>
      <c r="O70" s="19" t="n">
        <v>89.04868999999999</v>
      </c>
      <c r="P70" s="19" t="n">
        <v>79.34026</v>
      </c>
      <c r="Q70" s="19" t="n">
        <v>74.71272999999999</v>
      </c>
      <c r="R70" s="19" t="n">
        <v>67.00539000000001</v>
      </c>
      <c r="S70" s="19" t="n">
        <v>68.07629</v>
      </c>
      <c r="T70" s="19" t="n">
        <v>82.92034</v>
      </c>
      <c r="U70" s="19" t="n">
        <v>74.96287</v>
      </c>
      <c r="V70" s="19" t="n">
        <v>74.82216</v>
      </c>
      <c r="W70" s="19" t="n">
        <v>71.5313</v>
      </c>
      <c r="X70" s="19" t="n">
        <v>76.65911</v>
      </c>
      <c r="Y70" s="19" t="n">
        <v>74.11865</v>
      </c>
      <c r="Z70" s="19" t="n">
        <v>80.7551</v>
      </c>
      <c r="AA70" s="19" t="n">
        <v>81.09122000000001</v>
      </c>
      <c r="AB70" s="19" t="n">
        <v>68.98303</v>
      </c>
      <c r="AC70" s="19" t="n">
        <v>75.65855999999999</v>
      </c>
      <c r="AD70" s="19" t="n">
        <v>56.74196</v>
      </c>
      <c r="AE70" s="19" t="n">
        <v>62.25279</v>
      </c>
      <c r="AF70" s="19" t="n">
        <v>67.22426</v>
      </c>
      <c r="AG70" s="19" t="n">
        <v>63.2846</v>
      </c>
      <c r="AH70" s="19" t="n">
        <v>61.92448</v>
      </c>
      <c r="AI70" s="19" t="n">
        <v>61.67435</v>
      </c>
      <c r="AJ70" s="19" t="n">
        <v>63.78488</v>
      </c>
      <c r="AK70" s="19" t="n">
        <v>62.08864</v>
      </c>
      <c r="AL70" s="19" t="n">
        <v>67.16954</v>
      </c>
      <c r="AM70" s="19" t="n">
        <v>67.13827000000001</v>
      </c>
    </row>
    <row r="71">
      <c r="A71" s="3" t="inlineStr">
        <is>
          <t>R14</t>
        </is>
      </c>
      <c r="B71" s="3" t="inlineStr">
        <is>
          <t>인천정형외과</t>
        </is>
      </c>
      <c r="C71" s="18" t="inlineStr"/>
      <c r="D71" s="19" t="n">
        <v>24.29453</v>
      </c>
      <c r="E71" s="19" t="n">
        <v>22.85624</v>
      </c>
      <c r="F71" s="19" t="n">
        <v>20.48776</v>
      </c>
      <c r="G71" s="19" t="n">
        <v>21.46486</v>
      </c>
      <c r="H71" s="19" t="n">
        <v>21.39451</v>
      </c>
      <c r="I71" s="19" t="n">
        <v>22.24654</v>
      </c>
      <c r="J71" s="19" t="n">
        <v>43.31274</v>
      </c>
      <c r="K71" s="19" t="n">
        <v>20.85515</v>
      </c>
      <c r="L71" s="19" t="n">
        <v>22.184</v>
      </c>
      <c r="M71" s="19" t="n">
        <v>22.87969</v>
      </c>
      <c r="N71" s="19" t="n">
        <v>23.84897</v>
      </c>
      <c r="O71" s="19" t="n">
        <v>23.82552</v>
      </c>
      <c r="P71" s="19" t="n">
        <v>24.77135</v>
      </c>
      <c r="Q71" s="19" t="n">
        <v>22.89533</v>
      </c>
      <c r="R71" s="19" t="n">
        <v>19.11201</v>
      </c>
      <c r="S71" s="19" t="n">
        <v>19.01039</v>
      </c>
      <c r="T71" s="19" t="n">
        <v>20.65973</v>
      </c>
      <c r="U71" s="19" t="n">
        <v>18.76807</v>
      </c>
      <c r="V71" s="19" t="n">
        <v>26.0064</v>
      </c>
      <c r="W71" s="19" t="n">
        <v>27.46814</v>
      </c>
      <c r="X71" s="19" t="n">
        <v>29.14875</v>
      </c>
      <c r="Y71" s="19" t="n">
        <v>31.61885</v>
      </c>
      <c r="Z71" s="19" t="n">
        <v>35.0895</v>
      </c>
      <c r="AA71" s="19" t="n">
        <v>27.38997</v>
      </c>
      <c r="AB71" s="19" t="n">
        <v>35.84772</v>
      </c>
      <c r="AC71" s="19" t="n">
        <v>24.61502</v>
      </c>
      <c r="AD71" s="19" t="n">
        <v>17.21253</v>
      </c>
      <c r="AE71" s="19" t="n">
        <v>18.94004</v>
      </c>
      <c r="AF71" s="19" t="n">
        <v>15.20362</v>
      </c>
      <c r="AG71" s="19" t="n">
        <v>18.07238</v>
      </c>
      <c r="AH71" s="19" t="n">
        <v>20.22199</v>
      </c>
      <c r="AI71" s="19" t="n">
        <v>18.55702</v>
      </c>
      <c r="AJ71" s="19" t="n">
        <v>19.02602</v>
      </c>
      <c r="AK71" s="19" t="n">
        <v>17.46267</v>
      </c>
      <c r="AL71" s="19" t="n">
        <v>15.7977</v>
      </c>
      <c r="AM71" s="19" t="n">
        <v>14.33596</v>
      </c>
    </row>
    <row r="72">
      <c r="A72" s="3" t="inlineStr">
        <is>
          <t>R14</t>
        </is>
      </c>
      <c r="B72" s="3" t="inlineStr">
        <is>
          <t>광주정형외과</t>
        </is>
      </c>
      <c r="C72" s="18" t="inlineStr"/>
      <c r="D72" s="19" t="n">
        <v>31.39998</v>
      </c>
      <c r="E72" s="19" t="n">
        <v>32.58031</v>
      </c>
      <c r="F72" s="19" t="n">
        <v>25.71718</v>
      </c>
      <c r="G72" s="19" t="n">
        <v>33.39326</v>
      </c>
      <c r="H72" s="19" t="n">
        <v>28.39052</v>
      </c>
      <c r="I72" s="19" t="n">
        <v>29.86007</v>
      </c>
      <c r="J72" s="19" t="n">
        <v>29.79754</v>
      </c>
      <c r="K72" s="19" t="n">
        <v>33.26819</v>
      </c>
      <c r="L72" s="19" t="n">
        <v>45.72031</v>
      </c>
      <c r="M72" s="19" t="n">
        <v>37.43453</v>
      </c>
      <c r="N72" s="19" t="n">
        <v>31.65012</v>
      </c>
      <c r="O72" s="19" t="n">
        <v>46.3691</v>
      </c>
      <c r="P72" s="19" t="n">
        <v>43.12514</v>
      </c>
      <c r="Q72" s="19" t="n">
        <v>31.65012</v>
      </c>
      <c r="R72" s="19" t="n">
        <v>28.07785</v>
      </c>
      <c r="S72" s="19" t="n">
        <v>26.17056</v>
      </c>
      <c r="T72" s="19" t="n">
        <v>29.56304</v>
      </c>
      <c r="U72" s="19" t="n">
        <v>25.68592</v>
      </c>
      <c r="V72" s="19" t="n">
        <v>59.86867</v>
      </c>
      <c r="W72" s="19" t="n">
        <v>38.80247</v>
      </c>
      <c r="X72" s="19" t="n">
        <v>46.3691</v>
      </c>
      <c r="Y72" s="19" t="n">
        <v>34.30782</v>
      </c>
      <c r="Z72" s="19" t="n">
        <v>31.05604</v>
      </c>
      <c r="AA72" s="19" t="n">
        <v>31.04822</v>
      </c>
      <c r="AB72" s="19" t="n">
        <v>28.96115</v>
      </c>
      <c r="AC72" s="19" t="n">
        <v>37.31728</v>
      </c>
      <c r="AD72" s="19" t="n">
        <v>31.39998</v>
      </c>
      <c r="AE72" s="19" t="n">
        <v>29.67247</v>
      </c>
      <c r="AF72" s="19" t="n">
        <v>34.87844</v>
      </c>
      <c r="AG72" s="19" t="n">
        <v>32.92425</v>
      </c>
      <c r="AH72" s="19" t="n">
        <v>34.71429</v>
      </c>
      <c r="AI72" s="19" t="n">
        <v>29.36762</v>
      </c>
      <c r="AJ72" s="19" t="n">
        <v>37.33291</v>
      </c>
      <c r="AK72" s="19" t="n">
        <v>31.47033</v>
      </c>
      <c r="AL72" s="19" t="n">
        <v>34.04987</v>
      </c>
      <c r="AM72" s="19" t="n">
        <v>34.2531</v>
      </c>
    </row>
    <row r="73">
      <c r="A73" s="3" t="inlineStr">
        <is>
          <t>R14</t>
        </is>
      </c>
      <c r="B73" s="3" t="inlineStr">
        <is>
          <t>대전정형외과</t>
        </is>
      </c>
      <c r="C73" s="18" t="inlineStr"/>
      <c r="D73" s="19" t="n">
        <v>53.77159</v>
      </c>
      <c r="E73" s="19" t="n">
        <v>53.99828</v>
      </c>
      <c r="F73" s="19" t="n">
        <v>42.00734</v>
      </c>
      <c r="G73" s="19" t="n">
        <v>43.83647</v>
      </c>
      <c r="H73" s="19" t="n">
        <v>46.1346</v>
      </c>
      <c r="I73" s="19" t="n">
        <v>47.94809</v>
      </c>
      <c r="J73" s="19" t="n">
        <v>53.48237</v>
      </c>
      <c r="K73" s="19" t="n">
        <v>54.19369</v>
      </c>
      <c r="L73" s="19" t="n">
        <v>58.18807</v>
      </c>
      <c r="M73" s="19" t="n">
        <v>53.88102</v>
      </c>
      <c r="N73" s="19" t="n">
        <v>44.28984</v>
      </c>
      <c r="O73" s="19" t="n">
        <v>42.39036</v>
      </c>
      <c r="P73" s="19" t="n">
        <v>54.49073</v>
      </c>
      <c r="Q73" s="19" t="n">
        <v>48.40928</v>
      </c>
      <c r="R73" s="19" t="n">
        <v>39.66231</v>
      </c>
      <c r="S73" s="19" t="n">
        <v>41.68686</v>
      </c>
      <c r="T73" s="19" t="n">
        <v>45.2513</v>
      </c>
      <c r="U73" s="19" t="n">
        <v>37.30946</v>
      </c>
      <c r="V73" s="19" t="n">
        <v>61.29914</v>
      </c>
      <c r="W73" s="19" t="n">
        <v>100</v>
      </c>
      <c r="X73" s="19" t="n">
        <v>68.51403000000001</v>
      </c>
      <c r="Y73" s="19" t="n">
        <v>58.28187</v>
      </c>
      <c r="Z73" s="19" t="n">
        <v>59.19643</v>
      </c>
      <c r="AA73" s="19" t="n">
        <v>89.55678</v>
      </c>
      <c r="AB73" s="19" t="n">
        <v>73.12591999999999</v>
      </c>
      <c r="AC73" s="19" t="n">
        <v>61.66653</v>
      </c>
      <c r="AD73" s="19" t="n">
        <v>83.03758999999999</v>
      </c>
      <c r="AE73" s="19" t="n">
        <v>96.99835</v>
      </c>
      <c r="AF73" s="19" t="n">
        <v>55.24896</v>
      </c>
      <c r="AG73" s="19" t="n">
        <v>48.7454</v>
      </c>
      <c r="AH73" s="19" t="n">
        <v>54.45947</v>
      </c>
      <c r="AI73" s="19" t="n">
        <v>52.13788</v>
      </c>
      <c r="AJ73" s="19" t="n">
        <v>49.93355</v>
      </c>
      <c r="AK73" s="19" t="n">
        <v>45.09497</v>
      </c>
      <c r="AL73" s="19" t="n">
        <v>45.947</v>
      </c>
      <c r="AM73" s="19" t="n">
        <v>48.10443</v>
      </c>
    </row>
    <row r="74">
      <c r="A74" s="3" t="inlineStr">
        <is>
          <t>R14</t>
        </is>
      </c>
      <c r="B74" s="3" t="inlineStr">
        <is>
          <t>울산정형외과</t>
        </is>
      </c>
      <c r="C74" s="18" t="inlineStr"/>
      <c r="D74" s="19" t="n">
        <v>31.55631</v>
      </c>
      <c r="E74" s="19" t="n">
        <v>35.6054</v>
      </c>
      <c r="F74" s="19" t="n">
        <v>29.18783</v>
      </c>
      <c r="G74" s="19" t="n">
        <v>28.46869</v>
      </c>
      <c r="H74" s="19" t="n">
        <v>27.94496</v>
      </c>
      <c r="I74" s="19" t="n">
        <v>29.86007</v>
      </c>
      <c r="J74" s="19" t="n">
        <v>32.74446</v>
      </c>
      <c r="K74" s="19" t="n">
        <v>33.0415</v>
      </c>
      <c r="L74" s="19" t="n">
        <v>38.91972</v>
      </c>
      <c r="M74" s="19" t="n">
        <v>35.07386</v>
      </c>
      <c r="N74" s="19" t="n">
        <v>28.96896</v>
      </c>
      <c r="O74" s="19" t="n">
        <v>29.98514</v>
      </c>
      <c r="P74" s="19" t="n">
        <v>35.86336</v>
      </c>
      <c r="Q74" s="19" t="n">
        <v>32.54123</v>
      </c>
      <c r="R74" s="19" t="n">
        <v>27.8199</v>
      </c>
      <c r="S74" s="19" t="n">
        <v>28.03877</v>
      </c>
      <c r="T74" s="19" t="n">
        <v>30.37598</v>
      </c>
      <c r="U74" s="19" t="n">
        <v>25.38106</v>
      </c>
      <c r="V74" s="19" t="n">
        <v>30.89189</v>
      </c>
      <c r="W74" s="19" t="n">
        <v>29.91479</v>
      </c>
      <c r="X74" s="19" t="n">
        <v>35.33963</v>
      </c>
      <c r="Y74" s="19" t="n">
        <v>33.24474</v>
      </c>
      <c r="Z74" s="19" t="n">
        <v>31.30618</v>
      </c>
      <c r="AA74" s="19" t="n">
        <v>33.21347</v>
      </c>
      <c r="AB74" s="19" t="n">
        <v>31.28273</v>
      </c>
      <c r="AC74" s="19" t="n">
        <v>37.15313</v>
      </c>
      <c r="AD74" s="19" t="n">
        <v>27.49941</v>
      </c>
      <c r="AE74" s="19" t="n">
        <v>42.5467</v>
      </c>
      <c r="AF74" s="19" t="n">
        <v>47.59634</v>
      </c>
      <c r="AG74" s="19" t="n">
        <v>44.24294</v>
      </c>
      <c r="AH74" s="19" t="n">
        <v>52.75541</v>
      </c>
      <c r="AI74" s="19" t="n">
        <v>31.5485</v>
      </c>
      <c r="AJ74" s="19" t="n">
        <v>34.05768</v>
      </c>
      <c r="AK74" s="19" t="n">
        <v>32.08786</v>
      </c>
      <c r="AL74" s="19" t="n">
        <v>30.81372</v>
      </c>
      <c r="AM74" s="19" t="n">
        <v>31.26709</v>
      </c>
    </row>
    <row r="75">
      <c r="A75" s="3" t="inlineStr">
        <is>
          <t>R15</t>
        </is>
      </c>
      <c r="B75" s="3" t="inlineStr">
        <is>
          <t>서울피부과</t>
        </is>
      </c>
      <c r="C75" s="18" t="inlineStr">
        <is>
          <t>앵커</t>
        </is>
      </c>
      <c r="D75" s="19" t="n">
        <v>86.35007</v>
      </c>
      <c r="E75" s="19" t="n">
        <v>91.25702</v>
      </c>
      <c r="F75" s="19" t="n">
        <v>76.14991999999999</v>
      </c>
      <c r="G75" s="19" t="n">
        <v>77.12429</v>
      </c>
      <c r="H75" s="19" t="n">
        <v>91.17801</v>
      </c>
      <c r="I75" s="19" t="n">
        <v>90.85323</v>
      </c>
      <c r="J75" s="19" t="n">
        <v>89.99297</v>
      </c>
      <c r="K75" s="19" t="n">
        <v>88.08813000000001</v>
      </c>
      <c r="L75" s="19" t="n">
        <v>92.55616999999999</v>
      </c>
      <c r="M75" s="19" t="n">
        <v>85.20891</v>
      </c>
      <c r="N75" s="19" t="n">
        <v>99.81565999999999</v>
      </c>
      <c r="O75" s="19" t="n">
        <v>100</v>
      </c>
      <c r="P75" s="19" t="n">
        <v>89.09761</v>
      </c>
      <c r="Q75" s="19" t="n">
        <v>83.90098</v>
      </c>
      <c r="R75" s="19" t="n">
        <v>75.24578</v>
      </c>
      <c r="S75" s="19" t="n">
        <v>76.44838</v>
      </c>
      <c r="T75" s="19" t="n">
        <v>93.11797</v>
      </c>
      <c r="U75" s="19" t="n">
        <v>84.18188000000001</v>
      </c>
      <c r="V75" s="19" t="n">
        <v>84.02387</v>
      </c>
      <c r="W75" s="19" t="n">
        <v>80.3283</v>
      </c>
      <c r="X75" s="19" t="n">
        <v>86.08672</v>
      </c>
      <c r="Y75" s="19" t="n">
        <v>83.23384</v>
      </c>
      <c r="Z75" s="19" t="n">
        <v>90.68644</v>
      </c>
      <c r="AA75" s="19" t="n">
        <v>91.0639</v>
      </c>
      <c r="AB75" s="19" t="n">
        <v>77.46664</v>
      </c>
      <c r="AC75" s="19" t="n">
        <v>84.96313000000001</v>
      </c>
      <c r="AD75" s="19" t="n">
        <v>63.72015</v>
      </c>
      <c r="AE75" s="19" t="n">
        <v>69.9087</v>
      </c>
      <c r="AF75" s="19" t="n">
        <v>75.49157</v>
      </c>
      <c r="AG75" s="19" t="n">
        <v>71.06741</v>
      </c>
      <c r="AH75" s="19" t="n">
        <v>69.54002</v>
      </c>
      <c r="AI75" s="19" t="n">
        <v>69.25912</v>
      </c>
      <c r="AJ75" s="19" t="n">
        <v>71.62921</v>
      </c>
      <c r="AK75" s="19" t="n">
        <v>69.72436</v>
      </c>
      <c r="AL75" s="19" t="n">
        <v>75.43012</v>
      </c>
      <c r="AM75" s="19" t="n">
        <v>75.39501</v>
      </c>
    </row>
    <row r="76">
      <c r="A76" s="3" t="inlineStr">
        <is>
          <t>R15</t>
        </is>
      </c>
      <c r="B76" s="3" t="inlineStr">
        <is>
          <t>광주성형외과</t>
        </is>
      </c>
      <c r="C76" s="18" t="inlineStr"/>
      <c r="D76" s="19" t="n">
        <v>34.56811</v>
      </c>
      <c r="E76" s="19" t="n">
        <v>35.02457</v>
      </c>
      <c r="F76" s="19" t="n">
        <v>40.41432</v>
      </c>
      <c r="G76" s="19" t="n">
        <v>49.38553</v>
      </c>
      <c r="H76" s="19" t="n">
        <v>57.44382</v>
      </c>
      <c r="I76" s="19" t="n">
        <v>44.07478</v>
      </c>
      <c r="J76" s="19" t="n">
        <v>41.99438</v>
      </c>
      <c r="K76" s="19" t="n">
        <v>36.77141</v>
      </c>
      <c r="L76" s="19" t="n">
        <v>47.94592</v>
      </c>
      <c r="M76" s="19" t="n">
        <v>53.95891</v>
      </c>
      <c r="N76" s="19" t="n">
        <v>59.80512</v>
      </c>
      <c r="O76" s="19" t="n">
        <v>51.46594</v>
      </c>
      <c r="P76" s="19" t="n">
        <v>38.66748</v>
      </c>
      <c r="Q76" s="19" t="n">
        <v>39.80863</v>
      </c>
      <c r="R76" s="19" t="n">
        <v>42.37183</v>
      </c>
      <c r="S76" s="19" t="n">
        <v>48.2356</v>
      </c>
      <c r="T76" s="19" t="n">
        <v>53.04599</v>
      </c>
      <c r="U76" s="19" t="n">
        <v>41.45891</v>
      </c>
      <c r="V76" s="19" t="n">
        <v>39.76474</v>
      </c>
      <c r="W76" s="19" t="n">
        <v>36.85919</v>
      </c>
      <c r="X76" s="19" t="n">
        <v>36.98209</v>
      </c>
      <c r="Y76" s="19" t="n">
        <v>38.13202</v>
      </c>
      <c r="Z76" s="19" t="n">
        <v>33.94487</v>
      </c>
      <c r="AA76" s="19" t="n">
        <v>37.44733</v>
      </c>
      <c r="AB76" s="19" t="n">
        <v>66.63448</v>
      </c>
      <c r="AC76" s="19" t="n">
        <v>92.95119</v>
      </c>
      <c r="AD76" s="19" t="n">
        <v>71.04107999999999</v>
      </c>
      <c r="AE76" s="19" t="n">
        <v>89.18539</v>
      </c>
      <c r="AF76" s="19" t="n">
        <v>62.9389</v>
      </c>
      <c r="AG76" s="19" t="n">
        <v>33.94487</v>
      </c>
      <c r="AH76" s="19" t="n">
        <v>33.26896</v>
      </c>
      <c r="AI76" s="19" t="n">
        <v>45.82162</v>
      </c>
      <c r="AJ76" s="19" t="n">
        <v>36.36762</v>
      </c>
      <c r="AK76" s="19" t="n">
        <v>28.90625</v>
      </c>
      <c r="AL76" s="19" t="n">
        <v>31.73279</v>
      </c>
      <c r="AM76" s="19" t="n">
        <v>36.7363</v>
      </c>
    </row>
    <row r="77">
      <c r="A77" s="3" t="inlineStr">
        <is>
          <t>R15</t>
        </is>
      </c>
      <c r="B77" s="3" t="inlineStr">
        <is>
          <t>울산성형외과</t>
        </is>
      </c>
      <c r="C77" s="18" t="inlineStr"/>
      <c r="D77" s="19" t="n">
        <v>18.81144</v>
      </c>
      <c r="E77" s="19" t="n">
        <v>18.93433</v>
      </c>
      <c r="F77" s="19" t="n">
        <v>19.73314</v>
      </c>
      <c r="G77" s="19" t="n">
        <v>22.20856</v>
      </c>
      <c r="H77" s="19" t="n">
        <v>23.36727</v>
      </c>
      <c r="I77" s="19" t="n">
        <v>19.69803</v>
      </c>
      <c r="J77" s="19" t="n">
        <v>20.65484</v>
      </c>
      <c r="K77" s="19" t="n">
        <v>25.03511</v>
      </c>
      <c r="L77" s="19" t="n">
        <v>28.74824</v>
      </c>
      <c r="M77" s="19" t="n">
        <v>26.38693</v>
      </c>
      <c r="N77" s="19" t="n">
        <v>26.71172</v>
      </c>
      <c r="O77" s="19" t="n">
        <v>29.02036</v>
      </c>
      <c r="P77" s="19" t="n">
        <v>22.56846</v>
      </c>
      <c r="Q77" s="19" t="n">
        <v>19.33813</v>
      </c>
      <c r="R77" s="19" t="n">
        <v>17.9073</v>
      </c>
      <c r="S77" s="19" t="n">
        <v>19.99648</v>
      </c>
      <c r="T77" s="19" t="n">
        <v>20.66362</v>
      </c>
      <c r="U77" s="19" t="n">
        <v>18.43398</v>
      </c>
      <c r="V77" s="19" t="n">
        <v>18.04775</v>
      </c>
      <c r="W77" s="19" t="n">
        <v>16.30969</v>
      </c>
      <c r="X77" s="19" t="n">
        <v>16.95049</v>
      </c>
      <c r="Y77" s="19" t="n">
        <v>17.00316</v>
      </c>
      <c r="Z77" s="19" t="n">
        <v>16.97682</v>
      </c>
      <c r="AA77" s="19" t="n">
        <v>17.65273</v>
      </c>
      <c r="AB77" s="19" t="n">
        <v>16.03757</v>
      </c>
      <c r="AC77" s="19" t="n">
        <v>18.27598</v>
      </c>
      <c r="AD77" s="19" t="n">
        <v>16.16046</v>
      </c>
      <c r="AE77" s="19" t="n">
        <v>22.73525</v>
      </c>
      <c r="AF77" s="19" t="n">
        <v>22.61235</v>
      </c>
      <c r="AG77" s="19" t="n">
        <v>17.74051</v>
      </c>
      <c r="AH77" s="19" t="n">
        <v>15.5811</v>
      </c>
      <c r="AI77" s="19" t="n">
        <v>14.33462</v>
      </c>
      <c r="AJ77" s="19" t="n">
        <v>14.79108</v>
      </c>
      <c r="AK77" s="19" t="n">
        <v>13.55337</v>
      </c>
      <c r="AL77" s="19" t="n">
        <v>14.84375</v>
      </c>
      <c r="AM77" s="19" t="n">
        <v>13.85182</v>
      </c>
    </row>
    <row r="78">
      <c r="A78" s="3" t="inlineStr">
        <is>
          <t>R15</t>
        </is>
      </c>
      <c r="B78" s="3" t="inlineStr">
        <is>
          <t>광주한의원</t>
        </is>
      </c>
      <c r="C78" s="18" t="inlineStr"/>
      <c r="D78" s="19" t="n">
        <v>16.29213</v>
      </c>
      <c r="E78" s="19" t="n">
        <v>16.94171</v>
      </c>
      <c r="F78" s="19" t="n">
        <v>13.92205</v>
      </c>
      <c r="G78" s="19" t="n">
        <v>14.36095</v>
      </c>
      <c r="H78" s="19" t="n">
        <v>16.44136</v>
      </c>
      <c r="I78" s="19" t="n">
        <v>18.76755</v>
      </c>
      <c r="J78" s="19" t="n">
        <v>18.60955</v>
      </c>
      <c r="K78" s="19" t="n">
        <v>19.27668</v>
      </c>
      <c r="L78" s="19" t="n">
        <v>16.69592</v>
      </c>
      <c r="M78" s="19" t="n">
        <v>20.89185</v>
      </c>
      <c r="N78" s="19" t="n">
        <v>19.59269</v>
      </c>
      <c r="O78" s="19" t="n">
        <v>16.9066</v>
      </c>
      <c r="P78" s="19" t="n">
        <v>33.32162</v>
      </c>
      <c r="Q78" s="19" t="n">
        <v>17.51228</v>
      </c>
      <c r="R78" s="19" t="n">
        <v>17.40695</v>
      </c>
      <c r="S78" s="19" t="n">
        <v>15.47577</v>
      </c>
      <c r="T78" s="19" t="n">
        <v>18.16186</v>
      </c>
      <c r="U78" s="19" t="n">
        <v>24.11341</v>
      </c>
      <c r="V78" s="19" t="n">
        <v>17.64396</v>
      </c>
      <c r="W78" s="19" t="n">
        <v>14.09761</v>
      </c>
      <c r="X78" s="19" t="n">
        <v>12.52633</v>
      </c>
      <c r="Y78" s="19" t="n">
        <v>17.45962</v>
      </c>
      <c r="Z78" s="19" t="n">
        <v>15.89712</v>
      </c>
      <c r="AA78" s="19" t="n">
        <v>24.38553</v>
      </c>
      <c r="AB78" s="19" t="n">
        <v>22.55091</v>
      </c>
      <c r="AC78" s="19" t="n">
        <v>36.2974</v>
      </c>
      <c r="AD78" s="19" t="n">
        <v>13.76404</v>
      </c>
      <c r="AE78" s="19" t="n">
        <v>13.77282</v>
      </c>
      <c r="AF78" s="19" t="n">
        <v>13.64992</v>
      </c>
      <c r="AG78" s="19" t="n">
        <v>16.09901</v>
      </c>
      <c r="AH78" s="19" t="n">
        <v>17.13483</v>
      </c>
      <c r="AI78" s="19" t="n">
        <v>19.83848</v>
      </c>
      <c r="AJ78" s="19" t="n">
        <v>20.93574</v>
      </c>
      <c r="AK78" s="19" t="n">
        <v>19.78581</v>
      </c>
      <c r="AL78" s="19" t="n">
        <v>19.52247</v>
      </c>
      <c r="AM78" s="19" t="n">
        <v>18.20575</v>
      </c>
    </row>
    <row r="79">
      <c r="A79" s="3" t="inlineStr">
        <is>
          <t>R15</t>
        </is>
      </c>
      <c r="B79" s="3" t="inlineStr">
        <is>
          <t>울산한의원</t>
        </is>
      </c>
      <c r="C79" s="18" t="inlineStr"/>
      <c r="D79" s="19" t="n">
        <v>18.61832</v>
      </c>
      <c r="E79" s="19" t="n">
        <v>19.70681</v>
      </c>
      <c r="F79" s="19" t="n">
        <v>17.79318</v>
      </c>
      <c r="G79" s="19" t="n">
        <v>17.28405</v>
      </c>
      <c r="H79" s="19" t="n">
        <v>16.88026</v>
      </c>
      <c r="I79" s="19" t="n">
        <v>18.01264</v>
      </c>
      <c r="J79" s="19" t="n">
        <v>17.24894</v>
      </c>
      <c r="K79" s="19" t="n">
        <v>16.66959</v>
      </c>
      <c r="L79" s="19" t="n">
        <v>18.96067</v>
      </c>
      <c r="M79" s="19" t="n">
        <v>17.33672</v>
      </c>
      <c r="N79" s="19" t="n">
        <v>38.10568</v>
      </c>
      <c r="O79" s="19" t="n">
        <v>52.90554</v>
      </c>
      <c r="P79" s="19" t="n">
        <v>29.05547</v>
      </c>
      <c r="Q79" s="19" t="n">
        <v>16.66959</v>
      </c>
      <c r="R79" s="19" t="n">
        <v>17.19627</v>
      </c>
      <c r="S79" s="19" t="n">
        <v>15.63377</v>
      </c>
      <c r="T79" s="19" t="n">
        <v>29.94206</v>
      </c>
      <c r="U79" s="19" t="n">
        <v>23.75351</v>
      </c>
      <c r="V79" s="19" t="n">
        <v>17.8283</v>
      </c>
      <c r="W79" s="19" t="n">
        <v>21.86622</v>
      </c>
      <c r="X79" s="19" t="n">
        <v>32.64571</v>
      </c>
      <c r="Y79" s="19" t="n">
        <v>52.74754</v>
      </c>
      <c r="Z79" s="19" t="n">
        <v>31.59234</v>
      </c>
      <c r="AA79" s="19" t="n">
        <v>52.74754</v>
      </c>
      <c r="AB79" s="19" t="n">
        <v>51.23771</v>
      </c>
      <c r="AC79" s="19" t="n">
        <v>45.19838</v>
      </c>
      <c r="AD79" s="19" t="n">
        <v>16.94171</v>
      </c>
      <c r="AE79" s="19" t="n">
        <v>18.48665</v>
      </c>
      <c r="AF79" s="19" t="n">
        <v>18.31987</v>
      </c>
      <c r="AG79" s="19" t="n">
        <v>17.96875</v>
      </c>
      <c r="AH79" s="19" t="n">
        <v>15.94101</v>
      </c>
      <c r="AI79" s="19" t="n">
        <v>16.16924</v>
      </c>
      <c r="AJ79" s="19" t="n">
        <v>15.95856</v>
      </c>
      <c r="AK79" s="19" t="n">
        <v>14.28195</v>
      </c>
      <c r="AL79" s="19" t="n">
        <v>15.73911</v>
      </c>
      <c r="AM79" s="19" t="n">
        <v>16.7047</v>
      </c>
    </row>
    <row r="80">
      <c r="A80" s="3" t="inlineStr">
        <is>
          <t>R16</t>
        </is>
      </c>
      <c r="B80" s="3" t="inlineStr">
        <is>
          <t>서울피부과</t>
        </is>
      </c>
      <c r="C80" s="18" t="inlineStr">
        <is>
          <t>앵커</t>
        </is>
      </c>
      <c r="D80" s="19" t="n">
        <v>19.36379</v>
      </c>
      <c r="E80" s="19" t="n">
        <v>20.46416</v>
      </c>
      <c r="F80" s="19" t="n">
        <v>17.07643</v>
      </c>
      <c r="G80" s="19" t="n">
        <v>17.29493</v>
      </c>
      <c r="H80" s="19" t="n">
        <v>20.44644</v>
      </c>
      <c r="I80" s="19" t="n">
        <v>20.37361</v>
      </c>
      <c r="J80" s="19" t="n">
        <v>20.1807</v>
      </c>
      <c r="K80" s="19" t="n">
        <v>19.75354</v>
      </c>
      <c r="L80" s="19" t="n">
        <v>20.75549</v>
      </c>
      <c r="M80" s="19" t="n">
        <v>19.10789</v>
      </c>
      <c r="N80" s="19" t="n">
        <v>22.38341</v>
      </c>
      <c r="O80" s="19" t="n">
        <v>22.42475</v>
      </c>
      <c r="P80" s="19" t="n">
        <v>19.97992</v>
      </c>
      <c r="Q80" s="19" t="n">
        <v>18.81459</v>
      </c>
      <c r="R80" s="19" t="n">
        <v>16.87368</v>
      </c>
      <c r="S80" s="19" t="n">
        <v>17.14336</v>
      </c>
      <c r="T80" s="19" t="n">
        <v>20.88147</v>
      </c>
      <c r="U80" s="19" t="n">
        <v>18.87758</v>
      </c>
      <c r="V80" s="19" t="n">
        <v>18.84214</v>
      </c>
      <c r="W80" s="19" t="n">
        <v>18.01342</v>
      </c>
      <c r="X80" s="19" t="n">
        <v>19.30473</v>
      </c>
      <c r="Y80" s="19" t="n">
        <v>18.66498</v>
      </c>
      <c r="Z80" s="19" t="n">
        <v>20.33621</v>
      </c>
      <c r="AA80" s="19" t="n">
        <v>20.42085</v>
      </c>
      <c r="AB80" s="19" t="n">
        <v>17.3717</v>
      </c>
      <c r="AC80" s="19" t="n">
        <v>19.05277</v>
      </c>
      <c r="AD80" s="19" t="n">
        <v>14.28908</v>
      </c>
      <c r="AE80" s="19" t="n">
        <v>15.67685</v>
      </c>
      <c r="AF80" s="19" t="n">
        <v>16.9288</v>
      </c>
      <c r="AG80" s="19" t="n">
        <v>15.93669</v>
      </c>
      <c r="AH80" s="19" t="n">
        <v>15.59418</v>
      </c>
      <c r="AI80" s="19" t="n">
        <v>15.53119</v>
      </c>
      <c r="AJ80" s="19" t="n">
        <v>16.06267</v>
      </c>
      <c r="AK80" s="19" t="n">
        <v>15.63551</v>
      </c>
      <c r="AL80" s="19" t="n">
        <v>16.91502</v>
      </c>
      <c r="AM80" s="19" t="n">
        <v>16.90714</v>
      </c>
    </row>
    <row r="81">
      <c r="A81" s="3" t="inlineStr">
        <is>
          <t>R16</t>
        </is>
      </c>
      <c r="B81" s="3" t="inlineStr">
        <is>
          <t>강남피부과</t>
        </is>
      </c>
      <c r="C81" s="18" t="inlineStr"/>
      <c r="D81" s="19" t="n">
        <v>28.2022</v>
      </c>
      <c r="E81" s="19" t="n">
        <v>48.83958</v>
      </c>
      <c r="F81" s="19" t="n">
        <v>51.44386</v>
      </c>
      <c r="G81" s="19" t="n">
        <v>37.31816</v>
      </c>
      <c r="H81" s="19" t="n">
        <v>36.97761</v>
      </c>
      <c r="I81" s="19" t="n">
        <v>51.23127</v>
      </c>
      <c r="J81" s="19" t="n">
        <v>41.33186</v>
      </c>
      <c r="K81" s="19" t="n">
        <v>43.60544</v>
      </c>
      <c r="L81" s="19" t="n">
        <v>61.75272</v>
      </c>
      <c r="M81" s="19" t="n">
        <v>61.74287</v>
      </c>
      <c r="N81" s="19" t="n">
        <v>55.98905</v>
      </c>
      <c r="O81" s="19" t="n">
        <v>37.09572</v>
      </c>
      <c r="P81" s="19" t="n">
        <v>35.35166</v>
      </c>
      <c r="Q81" s="19" t="n">
        <v>31.71591</v>
      </c>
      <c r="R81" s="19" t="n">
        <v>29.50138</v>
      </c>
      <c r="S81" s="19" t="n">
        <v>30.20806</v>
      </c>
      <c r="T81" s="19" t="n">
        <v>34.76309</v>
      </c>
      <c r="U81" s="19" t="n">
        <v>32.70014</v>
      </c>
      <c r="V81" s="19" t="n">
        <v>34.4501</v>
      </c>
      <c r="W81" s="19" t="n">
        <v>35.24536</v>
      </c>
      <c r="X81" s="19" t="n">
        <v>36.89494</v>
      </c>
      <c r="Y81" s="19" t="n">
        <v>34.46388</v>
      </c>
      <c r="Z81" s="19" t="n">
        <v>39.82598</v>
      </c>
      <c r="AA81" s="19" t="n">
        <v>45.32587</v>
      </c>
      <c r="AB81" s="19" t="n">
        <v>42.18617</v>
      </c>
      <c r="AC81" s="19" t="n">
        <v>35.73945</v>
      </c>
      <c r="AD81" s="19" t="n">
        <v>30.71593</v>
      </c>
      <c r="AE81" s="19" t="n">
        <v>32.43636</v>
      </c>
      <c r="AF81" s="19" t="n">
        <v>35.50717</v>
      </c>
      <c r="AG81" s="19" t="n">
        <v>32.2592</v>
      </c>
      <c r="AH81" s="19" t="n">
        <v>36.47369</v>
      </c>
      <c r="AI81" s="19" t="n">
        <v>38.98545</v>
      </c>
      <c r="AJ81" s="19" t="n">
        <v>49.45178</v>
      </c>
      <c r="AK81" s="19" t="n">
        <v>47.2845</v>
      </c>
      <c r="AL81" s="19" t="n">
        <v>33.82807</v>
      </c>
      <c r="AM81" s="19" t="n">
        <v>37.48745</v>
      </c>
    </row>
    <row r="82">
      <c r="A82" s="3" t="inlineStr">
        <is>
          <t>R16</t>
        </is>
      </c>
      <c r="B82" s="3" t="inlineStr">
        <is>
          <t>강남치과</t>
        </is>
      </c>
      <c r="C82" s="18" t="inlineStr"/>
      <c r="D82" s="19" t="n">
        <v>8.702579999999999</v>
      </c>
      <c r="E82" s="19" t="n">
        <v>26.79081</v>
      </c>
      <c r="F82" s="19" t="n">
        <v>46.85931</v>
      </c>
      <c r="G82" s="19" t="n">
        <v>17.78901</v>
      </c>
      <c r="H82" s="19" t="n">
        <v>12.85801</v>
      </c>
      <c r="I82" s="19" t="n">
        <v>10.87773</v>
      </c>
      <c r="J82" s="19" t="n">
        <v>11.76945</v>
      </c>
      <c r="K82" s="19" t="n">
        <v>12.75959</v>
      </c>
      <c r="L82" s="19" t="n">
        <v>10.66317</v>
      </c>
      <c r="M82" s="19" t="n">
        <v>24.5999</v>
      </c>
      <c r="N82" s="19" t="n">
        <v>18.23389</v>
      </c>
      <c r="O82" s="19" t="n">
        <v>18.79293</v>
      </c>
      <c r="P82" s="19" t="n">
        <v>18.41105</v>
      </c>
      <c r="Q82" s="19" t="n">
        <v>11.56079</v>
      </c>
      <c r="R82" s="19" t="n">
        <v>10.95254</v>
      </c>
      <c r="S82" s="19" t="n">
        <v>16.02527</v>
      </c>
      <c r="T82" s="19" t="n">
        <v>20.88935</v>
      </c>
      <c r="U82" s="19" t="n">
        <v>27.24552</v>
      </c>
      <c r="V82" s="19" t="n">
        <v>26.779</v>
      </c>
      <c r="W82" s="19" t="n">
        <v>58.33152</v>
      </c>
      <c r="X82" s="19" t="n">
        <v>82.22672</v>
      </c>
      <c r="Y82" s="19" t="n">
        <v>54.97529</v>
      </c>
      <c r="Z82" s="19" t="n">
        <v>100</v>
      </c>
      <c r="AA82" s="19" t="n">
        <v>58.37877</v>
      </c>
      <c r="AB82" s="19" t="n">
        <v>35.66268</v>
      </c>
      <c r="AC82" s="19" t="n">
        <v>36.64297</v>
      </c>
      <c r="AD82" s="19" t="n">
        <v>43.27277</v>
      </c>
      <c r="AE82" s="19" t="n">
        <v>27.03293</v>
      </c>
      <c r="AF82" s="19" t="n">
        <v>17.7024</v>
      </c>
      <c r="AG82" s="19" t="n">
        <v>21.48579</v>
      </c>
      <c r="AH82" s="19" t="n">
        <v>18.70435</v>
      </c>
      <c r="AI82" s="19" t="n">
        <v>22.4838</v>
      </c>
      <c r="AJ82" s="19" t="n">
        <v>18.64136</v>
      </c>
      <c r="AK82" s="19" t="n">
        <v>17.45438</v>
      </c>
      <c r="AL82" s="19" t="n">
        <v>25.26131</v>
      </c>
      <c r="AM82" s="19" t="n">
        <v>34.37137</v>
      </c>
    </row>
    <row r="83">
      <c r="A83" s="3" t="inlineStr">
        <is>
          <t>R16</t>
        </is>
      </c>
      <c r="B83" s="3" t="inlineStr">
        <is>
          <t>부평치과</t>
        </is>
      </c>
      <c r="C83" s="18" t="inlineStr"/>
      <c r="D83" s="19" t="n">
        <v>8.68683</v>
      </c>
      <c r="E83" s="19" t="n">
        <v>30.31436</v>
      </c>
      <c r="F83" s="19" t="n">
        <v>42.73734</v>
      </c>
      <c r="G83" s="19" t="n">
        <v>24.93651</v>
      </c>
      <c r="H83" s="19" t="n">
        <v>25.84004</v>
      </c>
      <c r="I83" s="19" t="n">
        <v>16.4229</v>
      </c>
      <c r="J83" s="19" t="n">
        <v>16.25361</v>
      </c>
      <c r="K83" s="19" t="n">
        <v>11.89346</v>
      </c>
      <c r="L83" s="19" t="n">
        <v>26.36759</v>
      </c>
      <c r="M83" s="19" t="n">
        <v>21.04289</v>
      </c>
      <c r="N83" s="19" t="n">
        <v>15.47607</v>
      </c>
      <c r="O83" s="19" t="n">
        <v>17.02328</v>
      </c>
      <c r="P83" s="19" t="n">
        <v>12.42298</v>
      </c>
      <c r="Q83" s="19" t="n">
        <v>12.69463</v>
      </c>
      <c r="R83" s="19" t="n">
        <v>15.07253</v>
      </c>
      <c r="S83" s="19" t="n">
        <v>10.18483</v>
      </c>
      <c r="T83" s="19" t="n">
        <v>10.35412</v>
      </c>
      <c r="U83" s="19" t="n">
        <v>11.54307</v>
      </c>
      <c r="V83" s="19" t="n">
        <v>19.2634</v>
      </c>
      <c r="W83" s="19" t="n">
        <v>26.21995</v>
      </c>
      <c r="X83" s="19" t="n">
        <v>41.25312</v>
      </c>
      <c r="Y83" s="19" t="n">
        <v>34.32019</v>
      </c>
      <c r="Z83" s="19" t="n">
        <v>31.12734</v>
      </c>
      <c r="AA83" s="19" t="n">
        <v>33.29068</v>
      </c>
      <c r="AB83" s="19" t="n">
        <v>40.56219</v>
      </c>
      <c r="AC83" s="19" t="n">
        <v>34.39105</v>
      </c>
      <c r="AD83" s="19" t="n">
        <v>10.68089</v>
      </c>
      <c r="AE83" s="19" t="n">
        <v>13.01155</v>
      </c>
      <c r="AF83" s="19" t="n">
        <v>9.112019999999999</v>
      </c>
      <c r="AG83" s="19" t="n">
        <v>9.117929999999999</v>
      </c>
      <c r="AH83" s="19" t="n">
        <v>11.26946</v>
      </c>
      <c r="AI83" s="19" t="n">
        <v>9.468310000000001</v>
      </c>
      <c r="AJ83" s="19" t="n">
        <v>13.62965</v>
      </c>
      <c r="AK83" s="19" t="n">
        <v>13.62571</v>
      </c>
      <c r="AL83" s="19" t="n">
        <v>13.70445</v>
      </c>
      <c r="AM83" s="19" t="n">
        <v>13.34619</v>
      </c>
    </row>
    <row r="84">
      <c r="A84" s="3" t="inlineStr">
        <is>
          <t>R16</t>
        </is>
      </c>
      <c r="B84" s="3" t="inlineStr">
        <is>
          <t>서면피부과</t>
        </is>
      </c>
      <c r="C84" s="18" t="inlineStr"/>
      <c r="D84" s="19" t="n">
        <v>24.49164</v>
      </c>
      <c r="E84" s="19" t="n">
        <v>34.42845</v>
      </c>
      <c r="F84" s="19" t="n">
        <v>36.88706</v>
      </c>
      <c r="G84" s="19" t="n">
        <v>34.19814</v>
      </c>
      <c r="H84" s="19" t="n">
        <v>32.70801</v>
      </c>
      <c r="I84" s="19" t="n">
        <v>49.96948</v>
      </c>
      <c r="J84" s="19" t="n">
        <v>36.44613</v>
      </c>
      <c r="K84" s="19" t="n">
        <v>30.22578</v>
      </c>
      <c r="L84" s="19" t="n">
        <v>26.92269</v>
      </c>
      <c r="M84" s="19" t="n">
        <v>27.7711</v>
      </c>
      <c r="N84" s="19" t="n">
        <v>40.51888</v>
      </c>
      <c r="O84" s="19" t="n">
        <v>57.29021</v>
      </c>
      <c r="P84" s="19" t="n">
        <v>57.12879</v>
      </c>
      <c r="Q84" s="19" t="n">
        <v>46.31011</v>
      </c>
      <c r="R84" s="19" t="n">
        <v>40.85352</v>
      </c>
      <c r="S84" s="19" t="n">
        <v>42.09365</v>
      </c>
      <c r="T84" s="19" t="n">
        <v>56.88667</v>
      </c>
      <c r="U84" s="19" t="n">
        <v>62.15625</v>
      </c>
      <c r="V84" s="19" t="n">
        <v>64.07944000000001</v>
      </c>
      <c r="W84" s="19" t="n">
        <v>58.13468</v>
      </c>
      <c r="X84" s="19" t="n">
        <v>62.91017</v>
      </c>
      <c r="Y84" s="19" t="n">
        <v>68.43566</v>
      </c>
      <c r="Z84" s="19" t="n">
        <v>44.54439</v>
      </c>
      <c r="AA84" s="19" t="n">
        <v>29.26714</v>
      </c>
      <c r="AB84" s="19" t="n">
        <v>37.30044</v>
      </c>
      <c r="AC84" s="19" t="n">
        <v>46.86128</v>
      </c>
      <c r="AD84" s="19" t="n">
        <v>24.56644</v>
      </c>
      <c r="AE84" s="19" t="n">
        <v>30.53089</v>
      </c>
      <c r="AF84" s="19" t="n">
        <v>28.72384</v>
      </c>
      <c r="AG84" s="19" t="n">
        <v>25.01328</v>
      </c>
      <c r="AH84" s="19" t="n">
        <v>27.50733</v>
      </c>
      <c r="AI84" s="19" t="n">
        <v>23.91882</v>
      </c>
      <c r="AJ84" s="19" t="n">
        <v>30.61553</v>
      </c>
      <c r="AK84" s="19" t="n">
        <v>30.43444</v>
      </c>
      <c r="AL84" s="19" t="n">
        <v>46.09751</v>
      </c>
      <c r="AM84" s="19" t="n">
        <v>40.16456</v>
      </c>
    </row>
    <row r="85">
      <c r="A85" s="3" t="inlineStr">
        <is>
          <t>R17</t>
        </is>
      </c>
      <c r="B85" s="3" t="inlineStr">
        <is>
          <t>서울피부과</t>
        </is>
      </c>
      <c r="C85" s="18" t="inlineStr">
        <is>
          <t>앵커</t>
        </is>
      </c>
      <c r="D85" s="19" t="n">
        <v>1.37826</v>
      </c>
      <c r="E85" s="19" t="n">
        <v>1.45658</v>
      </c>
      <c r="F85" s="19" t="n">
        <v>1.21545</v>
      </c>
      <c r="G85" s="19" t="n">
        <v>1.231</v>
      </c>
      <c r="H85" s="19" t="n">
        <v>1.45532</v>
      </c>
      <c r="I85" s="19" t="n">
        <v>1.45014</v>
      </c>
      <c r="J85" s="19" t="n">
        <v>1.43641</v>
      </c>
      <c r="K85" s="19" t="n">
        <v>1.406</v>
      </c>
      <c r="L85" s="19" t="n">
        <v>1.47732</v>
      </c>
      <c r="M85" s="19" t="n">
        <v>1.36005</v>
      </c>
      <c r="N85" s="19" t="n">
        <v>1.59319</v>
      </c>
      <c r="O85" s="19" t="n">
        <v>1.59613</v>
      </c>
      <c r="P85" s="19" t="n">
        <v>1.42212</v>
      </c>
      <c r="Q85" s="19" t="n">
        <v>1.33917</v>
      </c>
      <c r="R85" s="19" t="n">
        <v>1.20102</v>
      </c>
      <c r="S85" s="19" t="n">
        <v>1.22022</v>
      </c>
      <c r="T85" s="19" t="n">
        <v>1.48629</v>
      </c>
      <c r="U85" s="19" t="n">
        <v>1.34365</v>
      </c>
      <c r="V85" s="19" t="n">
        <v>1.34113</v>
      </c>
      <c r="W85" s="19" t="n">
        <v>1.28215</v>
      </c>
      <c r="X85" s="19" t="n">
        <v>1.37406</v>
      </c>
      <c r="Y85" s="19" t="n">
        <v>1.32852</v>
      </c>
      <c r="Z85" s="19" t="n">
        <v>1.44748</v>
      </c>
      <c r="AA85" s="19" t="n">
        <v>1.4535</v>
      </c>
      <c r="AB85" s="19" t="n">
        <v>1.23647</v>
      </c>
      <c r="AC85" s="19" t="n">
        <v>1.35612</v>
      </c>
      <c r="AD85" s="19" t="n">
        <v>1.01706</v>
      </c>
      <c r="AE85" s="19" t="n">
        <v>1.11583</v>
      </c>
      <c r="AF85" s="19" t="n">
        <v>1.20494</v>
      </c>
      <c r="AG85" s="19" t="n">
        <v>1.13433</v>
      </c>
      <c r="AH85" s="19" t="n">
        <v>1.10995</v>
      </c>
      <c r="AI85" s="19" t="n">
        <v>1.10547</v>
      </c>
      <c r="AJ85" s="19" t="n">
        <v>1.1433</v>
      </c>
      <c r="AK85" s="19" t="n">
        <v>1.11289</v>
      </c>
      <c r="AL85" s="19" t="n">
        <v>1.20396</v>
      </c>
      <c r="AM85" s="19" t="n">
        <v>1.2034</v>
      </c>
    </row>
    <row r="86">
      <c r="A86" s="3" t="inlineStr">
        <is>
          <t>R17</t>
        </is>
      </c>
      <c r="B86" s="3" t="inlineStr">
        <is>
          <t>피부과</t>
        </is>
      </c>
      <c r="C86" s="18" t="inlineStr"/>
      <c r="D86" s="19" t="n">
        <v>72.57731</v>
      </c>
      <c r="E86" s="19" t="n">
        <v>77.2081</v>
      </c>
      <c r="F86" s="19" t="n">
        <v>62.04031</v>
      </c>
      <c r="G86" s="19" t="n">
        <v>61.19909</v>
      </c>
      <c r="H86" s="19" t="n">
        <v>69.22909</v>
      </c>
      <c r="I86" s="19" t="n">
        <v>70.06513</v>
      </c>
      <c r="J86" s="19" t="n">
        <v>71.15785</v>
      </c>
      <c r="K86" s="19" t="n">
        <v>75.17622</v>
      </c>
      <c r="L86" s="19" t="n">
        <v>82.40535</v>
      </c>
      <c r="M86" s="19" t="n">
        <v>77.14659</v>
      </c>
      <c r="N86" s="19" t="n">
        <v>81.20587</v>
      </c>
      <c r="O86" s="19" t="n">
        <v>85.82531</v>
      </c>
      <c r="P86" s="19" t="n">
        <v>75.80629999999999</v>
      </c>
      <c r="Q86" s="19" t="n">
        <v>68.67818</v>
      </c>
      <c r="R86" s="19" t="n">
        <v>59.7411</v>
      </c>
      <c r="S86" s="19" t="n">
        <v>61.26536</v>
      </c>
      <c r="T86" s="19" t="n">
        <v>70.01806000000001</v>
      </c>
      <c r="U86" s="19" t="n">
        <v>67.00008</v>
      </c>
      <c r="V86" s="19" t="n">
        <v>71.06076</v>
      </c>
      <c r="W86" s="19" t="n">
        <v>67.37697</v>
      </c>
      <c r="X86" s="19" t="n">
        <v>76.43581</v>
      </c>
      <c r="Y86" s="19" t="n">
        <v>75.59389</v>
      </c>
      <c r="Z86" s="19" t="n">
        <v>79.62444000000001</v>
      </c>
      <c r="AA86" s="19" t="n">
        <v>80.83808000000001</v>
      </c>
      <c r="AB86" s="19" t="n">
        <v>70.46290999999999</v>
      </c>
      <c r="AC86" s="19" t="n">
        <v>78.94421</v>
      </c>
      <c r="AD86" s="19" t="n">
        <v>57.94909</v>
      </c>
      <c r="AE86" s="19" t="n">
        <v>60.01515</v>
      </c>
      <c r="AF86" s="19" t="n">
        <v>64.87166000000001</v>
      </c>
      <c r="AG86" s="19" t="n">
        <v>62.19527</v>
      </c>
      <c r="AH86" s="19" t="n">
        <v>64.23052</v>
      </c>
      <c r="AI86" s="19" t="n">
        <v>64.70661</v>
      </c>
      <c r="AJ86" s="19" t="n">
        <v>73.20444999999999</v>
      </c>
      <c r="AK86" s="19" t="n">
        <v>68.97633</v>
      </c>
      <c r="AL86" s="19" t="n">
        <v>71.0955</v>
      </c>
      <c r="AM86" s="19" t="n">
        <v>72.95071</v>
      </c>
    </row>
    <row r="87">
      <c r="A87" s="3" t="inlineStr">
        <is>
          <t>R17</t>
        </is>
      </c>
      <c r="B87" s="3" t="inlineStr">
        <is>
          <t>치과</t>
        </is>
      </c>
      <c r="C87" s="18" t="inlineStr"/>
      <c r="D87" s="19" t="n">
        <v>36.46288</v>
      </c>
      <c r="E87" s="19" t="n">
        <v>42.403</v>
      </c>
      <c r="F87" s="19" t="n">
        <v>37.21541</v>
      </c>
      <c r="G87" s="19" t="n">
        <v>41.19609</v>
      </c>
      <c r="H87" s="19" t="n">
        <v>40.02056</v>
      </c>
      <c r="I87" s="19" t="n">
        <v>40.99069</v>
      </c>
      <c r="J87" s="19" t="n">
        <v>39.99254</v>
      </c>
      <c r="K87" s="19" t="n">
        <v>39.17822</v>
      </c>
      <c r="L87" s="19" t="n">
        <v>42.94817</v>
      </c>
      <c r="M87" s="19" t="n">
        <v>39.41066</v>
      </c>
      <c r="N87" s="19" t="n">
        <v>39.92977</v>
      </c>
      <c r="O87" s="19" t="n">
        <v>41.7662</v>
      </c>
      <c r="P87" s="19" t="n">
        <v>37.48344</v>
      </c>
      <c r="Q87" s="19" t="n">
        <v>37.62327</v>
      </c>
      <c r="R87" s="19" t="n">
        <v>34.89196</v>
      </c>
      <c r="S87" s="19" t="n">
        <v>38.39991</v>
      </c>
      <c r="T87" s="19" t="n">
        <v>39.6361</v>
      </c>
      <c r="U87" s="19" t="n">
        <v>37.46131</v>
      </c>
      <c r="V87" s="19" t="n">
        <v>38.93989</v>
      </c>
      <c r="W87" s="19" t="n">
        <v>35.16294</v>
      </c>
      <c r="X87" s="19" t="n">
        <v>39.38446</v>
      </c>
      <c r="Y87" s="19" t="n">
        <v>37.18879</v>
      </c>
      <c r="Z87" s="19" t="n">
        <v>38.55403</v>
      </c>
      <c r="AA87" s="19" t="n">
        <v>40.1213</v>
      </c>
      <c r="AB87" s="19" t="n">
        <v>34.74008</v>
      </c>
      <c r="AC87" s="19" t="n">
        <v>40.75937</v>
      </c>
      <c r="AD87" s="19" t="n">
        <v>32.93504</v>
      </c>
      <c r="AE87" s="19" t="n">
        <v>38.11856</v>
      </c>
      <c r="AF87" s="19" t="n">
        <v>35.0877</v>
      </c>
      <c r="AG87" s="19" t="n">
        <v>34.83073</v>
      </c>
      <c r="AH87" s="19" t="n">
        <v>36.05096</v>
      </c>
      <c r="AI87" s="19" t="n">
        <v>32.86667</v>
      </c>
      <c r="AJ87" s="19" t="n">
        <v>36.44018</v>
      </c>
      <c r="AK87" s="19" t="n">
        <v>34.94478</v>
      </c>
      <c r="AL87" s="19" t="n">
        <v>35.93214</v>
      </c>
      <c r="AM87" s="19" t="n">
        <v>38.22435</v>
      </c>
    </row>
    <row r="88">
      <c r="A88" s="3" t="inlineStr">
        <is>
          <t>R17</t>
        </is>
      </c>
      <c r="B88" s="3" t="inlineStr">
        <is>
          <t>한의원</t>
        </is>
      </c>
      <c r="C88" s="18" t="inlineStr"/>
      <c r="D88" s="19" t="n">
        <v>25.90865</v>
      </c>
      <c r="E88" s="19" t="n">
        <v>30.10691</v>
      </c>
      <c r="F88" s="19" t="n">
        <v>24.44197</v>
      </c>
      <c r="G88" s="19" t="n">
        <v>23.88251</v>
      </c>
      <c r="H88" s="19" t="n">
        <v>25.35577</v>
      </c>
      <c r="I88" s="19" t="n">
        <v>25.7174</v>
      </c>
      <c r="J88" s="19" t="n">
        <v>27.12649</v>
      </c>
      <c r="K88" s="19" t="n">
        <v>27.57582</v>
      </c>
      <c r="L88" s="19" t="n">
        <v>30.5278</v>
      </c>
      <c r="M88" s="19" t="n">
        <v>28.0379</v>
      </c>
      <c r="N88" s="19" t="n">
        <v>28.7414</v>
      </c>
      <c r="O88" s="19" t="n">
        <v>29.90459</v>
      </c>
      <c r="P88" s="19" t="n">
        <v>29.34359</v>
      </c>
      <c r="Q88" s="19" t="n">
        <v>28.14677</v>
      </c>
      <c r="R88" s="19" t="n">
        <v>23.83039</v>
      </c>
      <c r="S88" s="19" t="n">
        <v>22.96577</v>
      </c>
      <c r="T88" s="19" t="n">
        <v>26.02522</v>
      </c>
      <c r="U88" s="19" t="n">
        <v>22.1911</v>
      </c>
      <c r="V88" s="19" t="n">
        <v>26.26761</v>
      </c>
      <c r="W88" s="19" t="n">
        <v>24.15909</v>
      </c>
      <c r="X88" s="19" t="n">
        <v>26.85789</v>
      </c>
      <c r="Y88" s="19" t="n">
        <v>25.50219</v>
      </c>
      <c r="Z88" s="19" t="n">
        <v>24.39195</v>
      </c>
      <c r="AA88" s="19" t="n">
        <v>26.21801</v>
      </c>
      <c r="AB88" s="19" t="n">
        <v>23.7913</v>
      </c>
      <c r="AC88" s="19" t="n">
        <v>28.10151</v>
      </c>
      <c r="AD88" s="19" t="n">
        <v>20.72708</v>
      </c>
      <c r="AE88" s="19" t="n">
        <v>20.88513</v>
      </c>
      <c r="AF88" s="19" t="n">
        <v>20.93739</v>
      </c>
      <c r="AG88" s="19" t="n">
        <v>20.76323</v>
      </c>
      <c r="AH88" s="19" t="n">
        <v>22.26185</v>
      </c>
      <c r="AI88" s="19" t="n">
        <v>20.79658</v>
      </c>
      <c r="AJ88" s="19" t="n">
        <v>24.20266</v>
      </c>
      <c r="AK88" s="19" t="n">
        <v>22.86433</v>
      </c>
      <c r="AL88" s="19" t="n">
        <v>22.63525</v>
      </c>
      <c r="AM88" s="19" t="n">
        <v>23.68061</v>
      </c>
    </row>
    <row r="89">
      <c r="A89" s="3" t="inlineStr">
        <is>
          <t>R17</t>
        </is>
      </c>
      <c r="B89" s="3" t="inlineStr">
        <is>
          <t>내과</t>
        </is>
      </c>
      <c r="C89" s="18" t="inlineStr"/>
      <c r="D89" s="19" t="n">
        <v>68.79643</v>
      </c>
      <c r="E89" s="19" t="n">
        <v>84.56249</v>
      </c>
      <c r="F89" s="19" t="n">
        <v>83.97136999999999</v>
      </c>
      <c r="G89" s="19" t="n">
        <v>100</v>
      </c>
      <c r="H89" s="19" t="n">
        <v>85.27159</v>
      </c>
      <c r="I89" s="19" t="n">
        <v>71.25593000000001</v>
      </c>
      <c r="J89" s="19" t="n">
        <v>66.31144</v>
      </c>
      <c r="K89" s="19" t="n">
        <v>66.87888</v>
      </c>
      <c r="L89" s="19" t="n">
        <v>69.58427</v>
      </c>
      <c r="M89" s="19" t="n">
        <v>59.95841</v>
      </c>
      <c r="N89" s="19" t="n">
        <v>66.2928</v>
      </c>
      <c r="O89" s="19" t="n">
        <v>81.49296</v>
      </c>
      <c r="P89" s="19" t="n">
        <v>62.7375</v>
      </c>
      <c r="Q89" s="19" t="n">
        <v>68.77359</v>
      </c>
      <c r="R89" s="19" t="n">
        <v>62.9691</v>
      </c>
      <c r="S89" s="19" t="n">
        <v>83.76358</v>
      </c>
      <c r="T89" s="19" t="n">
        <v>92.80995</v>
      </c>
      <c r="U89" s="19" t="n">
        <v>57.25022</v>
      </c>
      <c r="V89" s="19" t="n">
        <v>67.94007999999999</v>
      </c>
      <c r="W89" s="19" t="n">
        <v>60.71851</v>
      </c>
      <c r="X89" s="19" t="n">
        <v>62.20354</v>
      </c>
      <c r="Y89" s="19" t="n">
        <v>55.78116</v>
      </c>
      <c r="Z89" s="19" t="n">
        <v>55.18149</v>
      </c>
      <c r="AA89" s="19" t="n">
        <v>60.79011</v>
      </c>
      <c r="AB89" s="19" t="n">
        <v>61.29604</v>
      </c>
      <c r="AC89" s="19" t="n">
        <v>71.61027</v>
      </c>
      <c r="AD89" s="19" t="n">
        <v>73.40845</v>
      </c>
      <c r="AE89" s="19" t="n">
        <v>65.43266</v>
      </c>
      <c r="AF89" s="19" t="n">
        <v>65.21899000000001</v>
      </c>
      <c r="AG89" s="19" t="n">
        <v>61.69172</v>
      </c>
      <c r="AH89" s="19" t="n">
        <v>56.36892</v>
      </c>
      <c r="AI89" s="19" t="n">
        <v>53.17707</v>
      </c>
      <c r="AJ89" s="19" t="n">
        <v>54.87535</v>
      </c>
      <c r="AK89" s="19" t="n">
        <v>49.68033</v>
      </c>
      <c r="AL89" s="19" t="n">
        <v>49.33846</v>
      </c>
      <c r="AM89" s="19" t="n">
        <v>53.1971</v>
      </c>
    </row>
    <row r="90">
      <c r="A90" s="3" t="inlineStr">
        <is>
          <t>R18</t>
        </is>
      </c>
      <c r="B90" s="3" t="inlineStr">
        <is>
          <t>서울피부과</t>
        </is>
      </c>
      <c r="C90" s="18" t="inlineStr">
        <is>
          <t>앵커</t>
        </is>
      </c>
      <c r="D90" s="19" t="n">
        <v>1.52788</v>
      </c>
      <c r="E90" s="19" t="n">
        <v>1.6147</v>
      </c>
      <c r="F90" s="19" t="n">
        <v>1.34739</v>
      </c>
      <c r="G90" s="19" t="n">
        <v>1.36463</v>
      </c>
      <c r="H90" s="19" t="n">
        <v>1.6133</v>
      </c>
      <c r="I90" s="19" t="n">
        <v>1.60755</v>
      </c>
      <c r="J90" s="19" t="n">
        <v>1.59233</v>
      </c>
      <c r="K90" s="19" t="n">
        <v>1.55863</v>
      </c>
      <c r="L90" s="19" t="n">
        <v>1.63769</v>
      </c>
      <c r="M90" s="19" t="n">
        <v>1.50768</v>
      </c>
      <c r="N90" s="19" t="n">
        <v>1.76614</v>
      </c>
      <c r="O90" s="19" t="n">
        <v>1.7694</v>
      </c>
      <c r="P90" s="19" t="n">
        <v>1.57649</v>
      </c>
      <c r="Q90" s="19" t="n">
        <v>1.48454</v>
      </c>
      <c r="R90" s="19" t="n">
        <v>1.3314</v>
      </c>
      <c r="S90" s="19" t="n">
        <v>1.35267</v>
      </c>
      <c r="T90" s="19" t="n">
        <v>1.64763</v>
      </c>
      <c r="U90" s="19" t="n">
        <v>1.48951</v>
      </c>
      <c r="V90" s="19" t="n">
        <v>1.48672</v>
      </c>
      <c r="W90" s="19" t="n">
        <v>1.42133</v>
      </c>
      <c r="X90" s="19" t="n">
        <v>1.52322</v>
      </c>
      <c r="Y90" s="19" t="n">
        <v>1.47274</v>
      </c>
      <c r="Z90" s="19" t="n">
        <v>1.6046</v>
      </c>
      <c r="AA90" s="19" t="n">
        <v>1.61128</v>
      </c>
      <c r="AB90" s="19" t="n">
        <v>1.37069</v>
      </c>
      <c r="AC90" s="19" t="n">
        <v>1.50334</v>
      </c>
      <c r="AD90" s="19" t="n">
        <v>1.12746</v>
      </c>
      <c r="AE90" s="19" t="n">
        <v>1.23696</v>
      </c>
      <c r="AF90" s="19" t="n">
        <v>1.33575</v>
      </c>
      <c r="AG90" s="19" t="n">
        <v>1.25746</v>
      </c>
      <c r="AH90" s="19" t="n">
        <v>1.23044</v>
      </c>
      <c r="AI90" s="19" t="n">
        <v>1.22547</v>
      </c>
      <c r="AJ90" s="19" t="n">
        <v>1.2674</v>
      </c>
      <c r="AK90" s="19" t="n">
        <v>1.2337</v>
      </c>
      <c r="AL90" s="19" t="n">
        <v>1.33466</v>
      </c>
      <c r="AM90" s="19" t="n">
        <v>1.33404</v>
      </c>
    </row>
    <row r="91">
      <c r="A91" s="3" t="inlineStr">
        <is>
          <t>R18</t>
        </is>
      </c>
      <c r="B91" s="3" t="inlineStr">
        <is>
          <t>정형외과</t>
        </is>
      </c>
      <c r="C91" s="18" t="inlineStr"/>
      <c r="D91" s="19" t="n">
        <v>83.32268999999999</v>
      </c>
      <c r="E91" s="19" t="n">
        <v>89.74764999999999</v>
      </c>
      <c r="F91" s="19" t="n">
        <v>74.53345</v>
      </c>
      <c r="G91" s="19" t="n">
        <v>71.03348</v>
      </c>
      <c r="H91" s="19" t="n">
        <v>72.68980999999999</v>
      </c>
      <c r="I91" s="19" t="n">
        <v>72.44689</v>
      </c>
      <c r="J91" s="19" t="n">
        <v>81.97141000000001</v>
      </c>
      <c r="K91" s="19" t="n">
        <v>89.12170999999999</v>
      </c>
      <c r="L91" s="19" t="n">
        <v>100</v>
      </c>
      <c r="M91" s="19" t="n">
        <v>90.2807</v>
      </c>
      <c r="N91" s="19" t="n">
        <v>84.95215</v>
      </c>
      <c r="O91" s="19" t="n">
        <v>87.67863</v>
      </c>
      <c r="P91" s="19" t="n">
        <v>86.51436</v>
      </c>
      <c r="Q91" s="19" t="n">
        <v>84.82603</v>
      </c>
      <c r="R91" s="19" t="n">
        <v>72.36457</v>
      </c>
      <c r="S91" s="19" t="n">
        <v>66.93210000000001</v>
      </c>
      <c r="T91" s="19" t="n">
        <v>70.97865</v>
      </c>
      <c r="U91" s="19" t="n">
        <v>64.34463</v>
      </c>
      <c r="V91" s="19" t="n">
        <v>79.66367</v>
      </c>
      <c r="W91" s="19" t="n">
        <v>76.23048</v>
      </c>
      <c r="X91" s="19" t="n">
        <v>86.72528</v>
      </c>
      <c r="Y91" s="19" t="n">
        <v>82.70405</v>
      </c>
      <c r="Z91" s="19" t="n">
        <v>77.84518</v>
      </c>
      <c r="AA91" s="19" t="n">
        <v>79.7567</v>
      </c>
      <c r="AB91" s="19" t="n">
        <v>76.62468</v>
      </c>
      <c r="AC91" s="19" t="n">
        <v>84.74495</v>
      </c>
      <c r="AD91" s="19" t="n">
        <v>64.8182</v>
      </c>
      <c r="AE91" s="19" t="n">
        <v>65.28292</v>
      </c>
      <c r="AF91" s="19" t="n">
        <v>64.62638</v>
      </c>
      <c r="AG91" s="19" t="n">
        <v>59.45299</v>
      </c>
      <c r="AH91" s="19" t="n">
        <v>69.07443000000001</v>
      </c>
      <c r="AI91" s="19" t="n">
        <v>68.66934999999999</v>
      </c>
      <c r="AJ91" s="19" t="n">
        <v>80.1961</v>
      </c>
      <c r="AK91" s="19" t="n">
        <v>75.03684</v>
      </c>
      <c r="AL91" s="19" t="n">
        <v>71.43203</v>
      </c>
      <c r="AM91" s="19" t="n">
        <v>73.26635</v>
      </c>
    </row>
    <row r="92">
      <c r="A92" s="3" t="inlineStr">
        <is>
          <t>R18</t>
        </is>
      </c>
      <c r="B92" s="3" t="inlineStr">
        <is>
          <t>안과</t>
        </is>
      </c>
      <c r="C92" s="18" t="inlineStr"/>
      <c r="D92" s="19" t="n">
        <v>57.45573</v>
      </c>
      <c r="E92" s="19" t="n">
        <v>57.55001</v>
      </c>
      <c r="F92" s="19" t="n">
        <v>46.13292</v>
      </c>
      <c r="G92" s="19" t="n">
        <v>44.85573</v>
      </c>
      <c r="H92" s="19" t="n">
        <v>45.12412</v>
      </c>
      <c r="I92" s="19" t="n">
        <v>46.36186</v>
      </c>
      <c r="J92" s="19" t="n">
        <v>50.26008</v>
      </c>
      <c r="K92" s="19" t="n">
        <v>63.78579</v>
      </c>
      <c r="L92" s="19" t="n">
        <v>63.10782</v>
      </c>
      <c r="M92" s="19" t="n">
        <v>56.34877</v>
      </c>
      <c r="N92" s="19" t="n">
        <v>55.46795</v>
      </c>
      <c r="O92" s="19" t="n">
        <v>60.72615</v>
      </c>
      <c r="P92" s="19" t="n">
        <v>55.22829</v>
      </c>
      <c r="Q92" s="19" t="n">
        <v>49.474</v>
      </c>
      <c r="R92" s="19" t="n">
        <v>43.04547</v>
      </c>
      <c r="S92" s="19" t="n">
        <v>41.80556</v>
      </c>
      <c r="T92" s="19" t="n">
        <v>43.57247</v>
      </c>
      <c r="U92" s="19" t="n">
        <v>42.80628</v>
      </c>
      <c r="V92" s="19" t="n">
        <v>50.93184</v>
      </c>
      <c r="W92" s="19" t="n">
        <v>59.5774</v>
      </c>
      <c r="X92" s="19" t="n">
        <v>61.16912</v>
      </c>
      <c r="Y92" s="19" t="n">
        <v>54.27789</v>
      </c>
      <c r="Z92" s="19" t="n">
        <v>53.57445</v>
      </c>
      <c r="AA92" s="19" t="n">
        <v>55.93142</v>
      </c>
      <c r="AB92" s="19" t="n">
        <v>51.52547</v>
      </c>
      <c r="AC92" s="19" t="n">
        <v>55.6534</v>
      </c>
      <c r="AD92" s="19" t="n">
        <v>40.70558</v>
      </c>
      <c r="AE92" s="19" t="n">
        <v>41.50688</v>
      </c>
      <c r="AF92" s="19" t="n">
        <v>41.23615</v>
      </c>
      <c r="AG92" s="19" t="n">
        <v>40.04361</v>
      </c>
      <c r="AH92" s="19" t="n">
        <v>44.97843</v>
      </c>
      <c r="AI92" s="19" t="n">
        <v>55.67142</v>
      </c>
      <c r="AJ92" s="19" t="n">
        <v>52.10031</v>
      </c>
      <c r="AK92" s="19" t="n">
        <v>50.15679</v>
      </c>
      <c r="AL92" s="19" t="n">
        <v>50.69513</v>
      </c>
      <c r="AM92" s="19" t="n">
        <v>53.9598</v>
      </c>
    </row>
    <row r="93">
      <c r="A93" s="3" t="inlineStr">
        <is>
          <t>R18</t>
        </is>
      </c>
      <c r="B93" s="3" t="inlineStr">
        <is>
          <t>성형외과</t>
        </is>
      </c>
      <c r="C93" s="18" t="inlineStr"/>
      <c r="D93" s="19" t="n">
        <v>6.01833</v>
      </c>
      <c r="E93" s="19" t="n">
        <v>6.31499</v>
      </c>
      <c r="F93" s="19" t="n">
        <v>6.31405</v>
      </c>
      <c r="G93" s="19" t="n">
        <v>6.64737</v>
      </c>
      <c r="H93" s="19" t="n">
        <v>7.63319</v>
      </c>
      <c r="I93" s="19" t="n">
        <v>6.22692</v>
      </c>
      <c r="J93" s="19" t="n">
        <v>6.47621</v>
      </c>
      <c r="K93" s="19" t="n">
        <v>6.28454</v>
      </c>
      <c r="L93" s="19" t="n">
        <v>6.39467</v>
      </c>
      <c r="M93" s="19" t="n">
        <v>6.06679</v>
      </c>
      <c r="N93" s="19" t="n">
        <v>6.1884</v>
      </c>
      <c r="O93" s="19" t="n">
        <v>5.8978</v>
      </c>
      <c r="P93" s="19" t="n">
        <v>5.79575</v>
      </c>
      <c r="Q93" s="19" t="n">
        <v>5.87217</v>
      </c>
      <c r="R93" s="19" t="n">
        <v>5.86906</v>
      </c>
      <c r="S93" s="19" t="n">
        <v>6.38907</v>
      </c>
      <c r="T93" s="19" t="n">
        <v>6.66539</v>
      </c>
      <c r="U93" s="19" t="n">
        <v>5.64509</v>
      </c>
      <c r="V93" s="19" t="n">
        <v>5.5067</v>
      </c>
      <c r="W93" s="19" t="n">
        <v>5.18271</v>
      </c>
      <c r="X93" s="19" t="n">
        <v>5.37732</v>
      </c>
      <c r="Y93" s="19" t="n">
        <v>5.1928</v>
      </c>
      <c r="Z93" s="19" t="n">
        <v>5.35402</v>
      </c>
      <c r="AA93" s="19" t="n">
        <v>5.58638</v>
      </c>
      <c r="AB93" s="19" t="n">
        <v>5.16702</v>
      </c>
      <c r="AC93" s="19" t="n">
        <v>5.14947</v>
      </c>
      <c r="AD93" s="19" t="n">
        <v>4.96666</v>
      </c>
      <c r="AE93" s="19" t="n">
        <v>6.44949</v>
      </c>
      <c r="AF93" s="19" t="n">
        <v>6.42262</v>
      </c>
      <c r="AG93" s="19" t="n">
        <v>5.63608</v>
      </c>
      <c r="AH93" s="19" t="n">
        <v>4.69888</v>
      </c>
      <c r="AI93" s="19" t="n">
        <v>4.81304</v>
      </c>
      <c r="AJ93" s="19" t="n">
        <v>4.72218</v>
      </c>
      <c r="AK93" s="19" t="n">
        <v>4.33295</v>
      </c>
      <c r="AL93" s="19" t="n">
        <v>4.11007</v>
      </c>
      <c r="AM93" s="19" t="n">
        <v>4.18959</v>
      </c>
    </row>
    <row r="94">
      <c r="A94" s="3" t="inlineStr">
        <is>
          <t>R18</t>
        </is>
      </c>
      <c r="B94" s="3" t="inlineStr">
        <is>
          <t>병원</t>
        </is>
      </c>
      <c r="C94" s="18" t="inlineStr"/>
      <c r="D94" s="19" t="n">
        <v>38.01451</v>
      </c>
      <c r="E94" s="19" t="n">
        <v>46.29042</v>
      </c>
      <c r="F94" s="19" t="n">
        <v>39.57268</v>
      </c>
      <c r="G94" s="19" t="n">
        <v>46.75948</v>
      </c>
      <c r="H94" s="19" t="n">
        <v>34.77532</v>
      </c>
      <c r="I94" s="19" t="n">
        <v>34.19691</v>
      </c>
      <c r="J94" s="19" t="n">
        <v>34.31355</v>
      </c>
      <c r="K94" s="19" t="n">
        <v>33.49937</v>
      </c>
      <c r="L94" s="19" t="n">
        <v>35.66856</v>
      </c>
      <c r="M94" s="19" t="n">
        <v>31.18432</v>
      </c>
      <c r="N94" s="19" t="n">
        <v>28.21896</v>
      </c>
      <c r="O94" s="19" t="n">
        <v>36.28254</v>
      </c>
      <c r="P94" s="19" t="n">
        <v>34.63304</v>
      </c>
      <c r="Q94" s="19" t="n">
        <v>33.26949</v>
      </c>
      <c r="R94" s="19" t="n">
        <v>29.12929</v>
      </c>
      <c r="S94" s="19" t="n">
        <v>38.23351</v>
      </c>
      <c r="T94" s="19" t="n">
        <v>45.33333</v>
      </c>
      <c r="U94" s="19" t="n">
        <v>21.00435</v>
      </c>
      <c r="V94" s="19" t="n">
        <v>31.89072</v>
      </c>
      <c r="W94" s="19" t="n">
        <v>32.09279</v>
      </c>
      <c r="X94" s="19" t="n">
        <v>30.74291</v>
      </c>
      <c r="Y94" s="19" t="n">
        <v>25.50552</v>
      </c>
      <c r="Z94" s="19" t="n">
        <v>21.5326</v>
      </c>
      <c r="AA94" s="19" t="n">
        <v>24.73607</v>
      </c>
      <c r="AB94" s="19" t="n">
        <v>26.33151</v>
      </c>
      <c r="AC94" s="19" t="n">
        <v>38.31102</v>
      </c>
      <c r="AD94" s="19" t="n">
        <v>34.95782</v>
      </c>
      <c r="AE94" s="19" t="n">
        <v>27.98008</v>
      </c>
      <c r="AF94" s="19" t="n">
        <v>25.58862</v>
      </c>
      <c r="AG94" s="19" t="n">
        <v>28.3266</v>
      </c>
      <c r="AH94" s="19" t="n">
        <v>26.09015</v>
      </c>
      <c r="AI94" s="19" t="n">
        <v>24.31593</v>
      </c>
      <c r="AJ94" s="19" t="n">
        <v>26.33912</v>
      </c>
      <c r="AK94" s="19" t="n">
        <v>20.88258</v>
      </c>
      <c r="AL94" s="19" t="n">
        <v>19.12685</v>
      </c>
      <c r="AM94" s="19" t="n">
        <v>21.42807</v>
      </c>
    </row>
    <row r="95">
      <c r="A95" s="3" t="inlineStr">
        <is>
          <t>R19</t>
        </is>
      </c>
      <c r="B95" s="3" t="inlineStr">
        <is>
          <t>서울피부과</t>
        </is>
      </c>
      <c r="C95" s="18" t="inlineStr">
        <is>
          <t>앵커</t>
        </is>
      </c>
      <c r="D95" s="19" t="n">
        <v>8.244070000000001</v>
      </c>
      <c r="E95" s="19" t="n">
        <v>8.71255</v>
      </c>
      <c r="F95" s="19" t="n">
        <v>7.27024</v>
      </c>
      <c r="G95" s="19" t="n">
        <v>7.36326</v>
      </c>
      <c r="H95" s="19" t="n">
        <v>8.70501</v>
      </c>
      <c r="I95" s="19" t="n">
        <v>8.673999999999999</v>
      </c>
      <c r="J95" s="19" t="n">
        <v>8.59187</v>
      </c>
      <c r="K95" s="19" t="n">
        <v>8.41001</v>
      </c>
      <c r="L95" s="19" t="n">
        <v>8.836589999999999</v>
      </c>
      <c r="M95" s="19" t="n">
        <v>8.13513</v>
      </c>
      <c r="N95" s="19" t="n">
        <v>9.529669999999999</v>
      </c>
      <c r="O95" s="19" t="n">
        <v>9.547269999999999</v>
      </c>
      <c r="P95" s="19" t="n">
        <v>8.50639</v>
      </c>
      <c r="Q95" s="19" t="n">
        <v>8.010249999999999</v>
      </c>
      <c r="R95" s="19" t="n">
        <v>7.18392</v>
      </c>
      <c r="S95" s="19" t="n">
        <v>7.29873</v>
      </c>
      <c r="T95" s="19" t="n">
        <v>8.890219999999999</v>
      </c>
      <c r="U95" s="19" t="n">
        <v>8.03707</v>
      </c>
      <c r="V95" s="19" t="n">
        <v>8.021990000000001</v>
      </c>
      <c r="W95" s="19" t="n">
        <v>7.66916</v>
      </c>
      <c r="X95" s="19" t="n">
        <v>8.21893</v>
      </c>
      <c r="Y95" s="19" t="n">
        <v>7.94656</v>
      </c>
      <c r="Z95" s="19" t="n">
        <v>8.65808</v>
      </c>
      <c r="AA95" s="19" t="n">
        <v>8.69412</v>
      </c>
      <c r="AB95" s="19" t="n">
        <v>7.39595</v>
      </c>
      <c r="AC95" s="19" t="n">
        <v>8.111660000000001</v>
      </c>
      <c r="AD95" s="19" t="n">
        <v>6.08353</v>
      </c>
      <c r="AE95" s="19" t="n">
        <v>6.67437</v>
      </c>
      <c r="AF95" s="19" t="n">
        <v>7.20738</v>
      </c>
      <c r="AG95" s="19" t="n">
        <v>6.785</v>
      </c>
      <c r="AH95" s="19" t="n">
        <v>6.63917</v>
      </c>
      <c r="AI95" s="19" t="n">
        <v>6.61235</v>
      </c>
      <c r="AJ95" s="19" t="n">
        <v>6.83863</v>
      </c>
      <c r="AK95" s="19" t="n">
        <v>6.65677</v>
      </c>
      <c r="AL95" s="19" t="n">
        <v>7.20152</v>
      </c>
      <c r="AM95" s="19" t="n">
        <v>7.19816</v>
      </c>
    </row>
    <row r="96">
      <c r="A96" s="3" t="inlineStr">
        <is>
          <t>R19</t>
        </is>
      </c>
      <c r="B96" s="3" t="inlineStr">
        <is>
          <t>임플란트</t>
        </is>
      </c>
      <c r="C96" s="18" t="inlineStr"/>
      <c r="D96" s="19" t="n">
        <v>33.51351</v>
      </c>
      <c r="E96" s="19" t="n">
        <v>34.35912</v>
      </c>
      <c r="F96" s="19" t="n">
        <v>33.35009</v>
      </c>
      <c r="G96" s="19" t="n">
        <v>36.20958</v>
      </c>
      <c r="H96" s="19" t="n">
        <v>41.34778</v>
      </c>
      <c r="I96" s="19" t="n">
        <v>35.17875</v>
      </c>
      <c r="J96" s="19" t="n">
        <v>38.33408</v>
      </c>
      <c r="K96" s="19" t="n">
        <v>33.61241</v>
      </c>
      <c r="L96" s="19" t="n">
        <v>34.04233</v>
      </c>
      <c r="M96" s="19" t="n">
        <v>32.21702</v>
      </c>
      <c r="N96" s="19" t="n">
        <v>34.05658</v>
      </c>
      <c r="O96" s="19" t="n">
        <v>31.08479</v>
      </c>
      <c r="P96" s="19" t="n">
        <v>28.65439</v>
      </c>
      <c r="Q96" s="19" t="n">
        <v>31.62534</v>
      </c>
      <c r="R96" s="19" t="n">
        <v>34.18397</v>
      </c>
      <c r="S96" s="19" t="n">
        <v>33.71381</v>
      </c>
      <c r="T96" s="19" t="n">
        <v>33.00983</v>
      </c>
      <c r="U96" s="19" t="n">
        <v>35.46705</v>
      </c>
      <c r="V96" s="19" t="n">
        <v>34.83515</v>
      </c>
      <c r="W96" s="19" t="n">
        <v>30.20817</v>
      </c>
      <c r="X96" s="19" t="n">
        <v>29.32652</v>
      </c>
      <c r="Y96" s="19" t="n">
        <v>28.63512</v>
      </c>
      <c r="Z96" s="19" t="n">
        <v>27.84314</v>
      </c>
      <c r="AA96" s="19" t="n">
        <v>26.88104</v>
      </c>
      <c r="AB96" s="19" t="n">
        <v>25.15043</v>
      </c>
      <c r="AC96" s="19" t="n">
        <v>22.51219</v>
      </c>
      <c r="AD96" s="19" t="n">
        <v>23.28656</v>
      </c>
      <c r="AE96" s="19" t="n">
        <v>27.52635</v>
      </c>
      <c r="AF96" s="19" t="n">
        <v>38.12624</v>
      </c>
      <c r="AG96" s="19" t="n">
        <v>19.853</v>
      </c>
      <c r="AH96" s="19" t="n">
        <v>21.40091</v>
      </c>
      <c r="AI96" s="19" t="n">
        <v>19.63845</v>
      </c>
      <c r="AJ96" s="19" t="n">
        <v>18.06875</v>
      </c>
      <c r="AK96" s="19" t="n">
        <v>17.69078</v>
      </c>
      <c r="AL96" s="19" t="n">
        <v>18.06037</v>
      </c>
      <c r="AM96" s="19" t="n">
        <v>20.23264</v>
      </c>
    </row>
    <row r="97">
      <c r="A97" s="3" t="inlineStr">
        <is>
          <t>R19</t>
        </is>
      </c>
      <c r="B97" s="3" t="inlineStr">
        <is>
          <t>라식</t>
        </is>
      </c>
      <c r="C97" s="18" t="inlineStr"/>
      <c r="D97" s="19" t="n">
        <v>13.52558</v>
      </c>
      <c r="E97" s="19" t="n">
        <v>13.20712</v>
      </c>
      <c r="F97" s="19" t="n">
        <v>15.27547</v>
      </c>
      <c r="G97" s="19" t="n">
        <v>18.57913</v>
      </c>
      <c r="H97" s="19" t="n">
        <v>21.57858</v>
      </c>
      <c r="I97" s="19" t="n">
        <v>19.22445</v>
      </c>
      <c r="J97" s="19" t="n">
        <v>17.77543</v>
      </c>
      <c r="K97" s="19" t="n">
        <v>13.35713</v>
      </c>
      <c r="L97" s="19" t="n">
        <v>12.98587</v>
      </c>
      <c r="M97" s="19" t="n">
        <v>13.69152</v>
      </c>
      <c r="N97" s="19" t="n">
        <v>14.56395</v>
      </c>
      <c r="O97" s="19" t="n">
        <v>14.39801</v>
      </c>
      <c r="P97" s="19" t="n">
        <v>12.63304</v>
      </c>
      <c r="Q97" s="19" t="n">
        <v>12.58862</v>
      </c>
      <c r="R97" s="19" t="n">
        <v>16.08001</v>
      </c>
      <c r="S97" s="19" t="n">
        <v>16.25601</v>
      </c>
      <c r="T97" s="19" t="n">
        <v>17.83074</v>
      </c>
      <c r="U97" s="19" t="n">
        <v>14.54802</v>
      </c>
      <c r="V97" s="19" t="n">
        <v>11.87123</v>
      </c>
      <c r="W97" s="19" t="n">
        <v>10.70967</v>
      </c>
      <c r="X97" s="19" t="n">
        <v>10.65101</v>
      </c>
      <c r="Y97" s="19" t="n">
        <v>10.67615</v>
      </c>
      <c r="Z97" s="19" t="n">
        <v>11.39605</v>
      </c>
      <c r="AA97" s="19" t="n">
        <v>11.70027</v>
      </c>
      <c r="AB97" s="19" t="n">
        <v>11.12954</v>
      </c>
      <c r="AC97" s="19" t="n">
        <v>9.792820000000001</v>
      </c>
      <c r="AD97" s="19" t="n">
        <v>11.1329</v>
      </c>
      <c r="AE97" s="19" t="n">
        <v>12.5903</v>
      </c>
      <c r="AF97" s="19" t="n">
        <v>12.64896</v>
      </c>
      <c r="AG97" s="19" t="n">
        <v>9.148350000000001</v>
      </c>
      <c r="AH97" s="19" t="n">
        <v>7.582</v>
      </c>
      <c r="AI97" s="19" t="n">
        <v>6.91155</v>
      </c>
      <c r="AJ97" s="19" t="n">
        <v>6.47659</v>
      </c>
      <c r="AK97" s="19" t="n">
        <v>6.33328</v>
      </c>
      <c r="AL97" s="19" t="n">
        <v>7.23001</v>
      </c>
      <c r="AM97" s="19" t="n">
        <v>6.95345</v>
      </c>
    </row>
    <row r="98">
      <c r="A98" s="3" t="inlineStr">
        <is>
          <t>R19</t>
        </is>
      </c>
      <c r="B98" s="3" t="inlineStr">
        <is>
          <t>도수치료</t>
        </is>
      </c>
      <c r="C98" s="18" t="inlineStr"/>
      <c r="D98" s="19" t="n">
        <v>48.46214</v>
      </c>
      <c r="E98" s="19" t="n">
        <v>47.16062</v>
      </c>
      <c r="F98" s="19" t="n">
        <v>45.1392</v>
      </c>
      <c r="G98" s="19" t="n">
        <v>41.41566</v>
      </c>
      <c r="H98" s="19" t="n">
        <v>48.11266</v>
      </c>
      <c r="I98" s="19" t="n">
        <v>52.32061</v>
      </c>
      <c r="J98" s="19" t="n">
        <v>46.48933</v>
      </c>
      <c r="K98" s="19" t="n">
        <v>45.14423</v>
      </c>
      <c r="L98" s="19" t="n">
        <v>47.00474</v>
      </c>
      <c r="M98" s="19" t="n">
        <v>45.58086</v>
      </c>
      <c r="N98" s="19" t="n">
        <v>48.49985</v>
      </c>
      <c r="O98" s="19" t="n">
        <v>48.59958</v>
      </c>
      <c r="P98" s="19" t="n">
        <v>45.67891</v>
      </c>
      <c r="Q98" s="19" t="n">
        <v>40.23315</v>
      </c>
      <c r="R98" s="19" t="n">
        <v>45.39816</v>
      </c>
      <c r="S98" s="19" t="n">
        <v>38.89224</v>
      </c>
      <c r="T98" s="19" t="n">
        <v>75.94324</v>
      </c>
      <c r="U98" s="19" t="n">
        <v>38.6735</v>
      </c>
      <c r="V98" s="19" t="n">
        <v>46.19097</v>
      </c>
      <c r="W98" s="19" t="n">
        <v>40.7209</v>
      </c>
      <c r="X98" s="19" t="n">
        <v>36.0889</v>
      </c>
      <c r="Y98" s="19" t="n">
        <v>34.09597</v>
      </c>
      <c r="Z98" s="19" t="n">
        <v>35.89279</v>
      </c>
      <c r="AA98" s="19" t="n">
        <v>34.62563</v>
      </c>
      <c r="AB98" s="19" t="n">
        <v>33.66688</v>
      </c>
      <c r="AC98" s="19" t="n">
        <v>28.3485</v>
      </c>
      <c r="AD98" s="19" t="n">
        <v>30.20901</v>
      </c>
      <c r="AE98" s="19" t="n">
        <v>68.42242</v>
      </c>
      <c r="AF98" s="19" t="n">
        <v>47.90985</v>
      </c>
      <c r="AG98" s="19" t="n">
        <v>32.0712</v>
      </c>
      <c r="AH98" s="19" t="n">
        <v>29.42961</v>
      </c>
      <c r="AI98" s="19" t="n">
        <v>43.37423</v>
      </c>
      <c r="AJ98" s="19" t="n">
        <v>42.72053</v>
      </c>
      <c r="AK98" s="19" t="n">
        <v>100</v>
      </c>
      <c r="AL98" s="19" t="n">
        <v>72.73260000000001</v>
      </c>
      <c r="AM98" s="19" t="n">
        <v>30.03972</v>
      </c>
    </row>
    <row r="99">
      <c r="A99" s="3" t="inlineStr">
        <is>
          <t>R19</t>
        </is>
      </c>
      <c r="B99" s="3" t="inlineStr">
        <is>
          <t>여드름치료</t>
        </is>
      </c>
      <c r="C99" s="18" t="inlineStr"/>
      <c r="D99" s="19" t="n">
        <v>2.87373</v>
      </c>
      <c r="E99" s="19" t="n">
        <v>3.08157</v>
      </c>
      <c r="F99" s="19" t="n">
        <v>2.70277</v>
      </c>
      <c r="G99" s="19" t="n">
        <v>2.74048</v>
      </c>
      <c r="H99" s="19" t="n">
        <v>3.31456</v>
      </c>
      <c r="I99" s="19" t="n">
        <v>2.95419</v>
      </c>
      <c r="J99" s="19" t="n">
        <v>2.55024</v>
      </c>
      <c r="K99" s="19" t="n">
        <v>3.20393</v>
      </c>
      <c r="L99" s="19" t="n">
        <v>2.31977</v>
      </c>
      <c r="M99" s="19" t="n">
        <v>2.23764</v>
      </c>
      <c r="N99" s="19" t="n">
        <v>2.83099</v>
      </c>
      <c r="O99" s="19" t="n">
        <v>2.8972</v>
      </c>
      <c r="P99" s="19" t="n">
        <v>2.70528</v>
      </c>
      <c r="Q99" s="19" t="n">
        <v>2.76311</v>
      </c>
      <c r="R99" s="19" t="n">
        <v>2.63907</v>
      </c>
      <c r="S99" s="19" t="n">
        <v>2.55527</v>
      </c>
      <c r="T99" s="19" t="n">
        <v>3.73024</v>
      </c>
      <c r="U99" s="19" t="n">
        <v>3.50312</v>
      </c>
      <c r="V99" s="19" t="n">
        <v>2.6265</v>
      </c>
      <c r="W99" s="19" t="n">
        <v>2.25775</v>
      </c>
      <c r="X99" s="19" t="n">
        <v>2.2435</v>
      </c>
      <c r="Y99" s="19" t="n">
        <v>2.30468</v>
      </c>
      <c r="Z99" s="19" t="n">
        <v>2.70863</v>
      </c>
      <c r="AA99" s="19" t="n">
        <v>2.7564</v>
      </c>
      <c r="AB99" s="19" t="n">
        <v>2.51169</v>
      </c>
      <c r="AC99" s="19" t="n">
        <v>2.57538</v>
      </c>
      <c r="AD99" s="19" t="n">
        <v>2.34156</v>
      </c>
      <c r="AE99" s="19" t="n">
        <v>2.88379</v>
      </c>
      <c r="AF99" s="19" t="n">
        <v>3.09079</v>
      </c>
      <c r="AG99" s="19" t="n">
        <v>2.19992</v>
      </c>
      <c r="AH99" s="19" t="n">
        <v>1.91163</v>
      </c>
      <c r="AI99" s="19" t="n">
        <v>1.50265</v>
      </c>
      <c r="AJ99" s="19" t="n">
        <v>1.45488</v>
      </c>
      <c r="AK99" s="19" t="n">
        <v>1.43561</v>
      </c>
      <c r="AL99" s="19" t="n">
        <v>1.69373</v>
      </c>
      <c r="AM99" s="19" t="n">
        <v>1.50936</v>
      </c>
    </row>
    <row r="100">
      <c r="A100" s="3" t="inlineStr">
        <is>
          <t>R20</t>
        </is>
      </c>
      <c r="B100" s="3" t="inlineStr">
        <is>
          <t>서울피부과</t>
        </is>
      </c>
      <c r="C100" s="18" t="inlineStr">
        <is>
          <t>앵커</t>
        </is>
      </c>
      <c r="D100" s="19" t="n">
        <v>0.01288</v>
      </c>
      <c r="E100" s="19" t="n">
        <v>0.01361</v>
      </c>
      <c r="F100" s="19" t="n">
        <v>0.01136</v>
      </c>
      <c r="G100" s="19" t="n">
        <v>0.0115</v>
      </c>
      <c r="H100" s="19" t="n">
        <v>0.0136</v>
      </c>
      <c r="I100" s="19" t="n">
        <v>0.01355</v>
      </c>
      <c r="J100" s="19" t="n">
        <v>0.01342</v>
      </c>
      <c r="K100" s="19" t="n">
        <v>0.01314</v>
      </c>
      <c r="L100" s="19" t="n">
        <v>0.0138</v>
      </c>
      <c r="M100" s="19" t="n">
        <v>0.01271</v>
      </c>
      <c r="N100" s="19" t="n">
        <v>0.01489</v>
      </c>
      <c r="O100" s="19" t="n">
        <v>0.01491</v>
      </c>
      <c r="P100" s="19" t="n">
        <v>0.01329</v>
      </c>
      <c r="Q100" s="19" t="n">
        <v>0.01251</v>
      </c>
      <c r="R100" s="19" t="n">
        <v>0.01122</v>
      </c>
      <c r="S100" s="19" t="n">
        <v>0.0114</v>
      </c>
      <c r="T100" s="19" t="n">
        <v>0.01389</v>
      </c>
      <c r="U100" s="19" t="n">
        <v>0.01255</v>
      </c>
      <c r="V100" s="19" t="n">
        <v>0.01253</v>
      </c>
      <c r="W100" s="19" t="n">
        <v>0.01198</v>
      </c>
      <c r="X100" s="19" t="n">
        <v>0.01284</v>
      </c>
      <c r="Y100" s="19" t="n">
        <v>0.01241</v>
      </c>
      <c r="Z100" s="19" t="n">
        <v>0.01352</v>
      </c>
      <c r="AA100" s="19" t="n">
        <v>0.01358</v>
      </c>
      <c r="AB100" s="19" t="n">
        <v>0.01155</v>
      </c>
      <c r="AC100" s="19" t="n">
        <v>0.01267</v>
      </c>
      <c r="AD100" s="19" t="n">
        <v>0.0095</v>
      </c>
      <c r="AE100" s="19" t="n">
        <v>0.01043</v>
      </c>
      <c r="AF100" s="19" t="n">
        <v>0.01126</v>
      </c>
      <c r="AG100" s="19" t="n">
        <v>0.0106</v>
      </c>
      <c r="AH100" s="19" t="n">
        <v>0.01037</v>
      </c>
      <c r="AI100" s="19" t="n">
        <v>0.01033</v>
      </c>
      <c r="AJ100" s="19" t="n">
        <v>0.01068</v>
      </c>
      <c r="AK100" s="19" t="n">
        <v>0.0104</v>
      </c>
      <c r="AL100" s="19" t="n">
        <v>0.01125</v>
      </c>
      <c r="AM100" s="19" t="n">
        <v>0.01124</v>
      </c>
    </row>
    <row r="101">
      <c r="A101" s="3" t="inlineStr">
        <is>
          <t>R20</t>
        </is>
      </c>
      <c r="B101" s="3" t="inlineStr">
        <is>
          <t>날씨</t>
        </is>
      </c>
      <c r="C101" s="18" t="inlineStr"/>
      <c r="D101" s="19" t="n">
        <v>48.70957</v>
      </c>
      <c r="E101" s="19" t="n">
        <v>35.04784</v>
      </c>
      <c r="F101" s="19" t="n">
        <v>54.50957</v>
      </c>
      <c r="G101" s="19" t="n">
        <v>55.23728</v>
      </c>
      <c r="H101" s="19" t="n">
        <v>48.13055</v>
      </c>
      <c r="I101" s="19" t="n">
        <v>49.96504</v>
      </c>
      <c r="J101" s="19" t="n">
        <v>60.35387</v>
      </c>
      <c r="K101" s="19" t="n">
        <v>53.09006</v>
      </c>
      <c r="L101" s="19" t="n">
        <v>50.8035</v>
      </c>
      <c r="M101" s="19" t="n">
        <v>51.24918</v>
      </c>
      <c r="N101" s="19" t="n">
        <v>100</v>
      </c>
      <c r="O101" s="19" t="n">
        <v>52.70255</v>
      </c>
      <c r="P101" s="19" t="n">
        <v>54.34313</v>
      </c>
      <c r="Q101" s="19" t="n">
        <v>49.56759</v>
      </c>
      <c r="R101" s="19" t="n">
        <v>50.10832</v>
      </c>
      <c r="S101" s="19" t="n">
        <v>34.19</v>
      </c>
      <c r="T101" s="19" t="n">
        <v>41.35928</v>
      </c>
      <c r="U101" s="19" t="n">
        <v>41.65885</v>
      </c>
      <c r="V101" s="19" t="n">
        <v>58.47899</v>
      </c>
      <c r="W101" s="19" t="n">
        <v>62.15679</v>
      </c>
      <c r="X101" s="19" t="n">
        <v>63.20352</v>
      </c>
      <c r="Y101" s="19" t="n">
        <v>62.25255</v>
      </c>
      <c r="Z101" s="19" t="n">
        <v>60.2023</v>
      </c>
      <c r="AA101" s="19" t="n">
        <v>63.72432</v>
      </c>
      <c r="AB101" s="19" t="n">
        <v>65.91925000000001</v>
      </c>
      <c r="AC101" s="19" t="n">
        <v>58.06392</v>
      </c>
      <c r="AD101" s="19" t="n">
        <v>37.95628</v>
      </c>
      <c r="AE101" s="19" t="n">
        <v>52.1107</v>
      </c>
      <c r="AF101" s="19" t="n">
        <v>45.43713</v>
      </c>
      <c r="AG101" s="19" t="n">
        <v>39.10839</v>
      </c>
      <c r="AH101" s="19" t="n">
        <v>44.22487</v>
      </c>
      <c r="AI101" s="19" t="n">
        <v>51.56853</v>
      </c>
      <c r="AJ101" s="19" t="n">
        <v>51.23856</v>
      </c>
      <c r="AK101" s="19" t="n">
        <v>44.164</v>
      </c>
      <c r="AL101" s="19" t="n">
        <v>74.39954</v>
      </c>
      <c r="AM101" s="19" t="n">
        <v>58.04322</v>
      </c>
    </row>
    <row r="102">
      <c r="A102" s="3" t="inlineStr">
        <is>
          <t>R20</t>
        </is>
      </c>
      <c r="B102" s="3" t="inlineStr">
        <is>
          <t>지하철</t>
        </is>
      </c>
      <c r="C102" s="18" t="inlineStr"/>
      <c r="D102" s="19" t="n">
        <v>0.48332</v>
      </c>
      <c r="E102" s="19" t="n">
        <v>0.46931</v>
      </c>
      <c r="F102" s="19" t="n">
        <v>0.58378</v>
      </c>
      <c r="G102" s="19" t="n">
        <v>0.45054</v>
      </c>
      <c r="H102" s="19" t="n">
        <v>0.40701</v>
      </c>
      <c r="I102" s="19" t="n">
        <v>0.41045</v>
      </c>
      <c r="J102" s="19" t="n">
        <v>0.44518</v>
      </c>
      <c r="K102" s="19" t="n">
        <v>0.41416</v>
      </c>
      <c r="L102" s="19" t="n">
        <v>0.41165</v>
      </c>
      <c r="M102" s="19" t="n">
        <v>0.36395</v>
      </c>
      <c r="N102" s="19" t="n">
        <v>0.42189</v>
      </c>
      <c r="O102" s="19" t="n">
        <v>0.37677</v>
      </c>
      <c r="P102" s="19" t="n">
        <v>0.35475</v>
      </c>
      <c r="Q102" s="19" t="n">
        <v>0.404</v>
      </c>
      <c r="R102" s="19" t="n">
        <v>0.5691000000000001</v>
      </c>
      <c r="S102" s="19" t="n">
        <v>0.47947</v>
      </c>
      <c r="T102" s="19" t="n">
        <v>0.32389</v>
      </c>
      <c r="U102" s="19" t="n">
        <v>0.3339</v>
      </c>
      <c r="V102" s="19" t="n">
        <v>0.3959</v>
      </c>
      <c r="W102" s="19" t="n">
        <v>0.35802</v>
      </c>
      <c r="X102" s="19" t="n">
        <v>0.38959</v>
      </c>
      <c r="Y102" s="19" t="n">
        <v>0.36343</v>
      </c>
      <c r="Z102" s="19" t="n">
        <v>0.38777</v>
      </c>
      <c r="AA102" s="19" t="n">
        <v>0.33335</v>
      </c>
      <c r="AB102" s="19" t="n">
        <v>0.3359</v>
      </c>
      <c r="AC102" s="19" t="n">
        <v>0.34451</v>
      </c>
      <c r="AD102" s="19" t="n">
        <v>0.33847</v>
      </c>
      <c r="AE102" s="19" t="n">
        <v>0.44855</v>
      </c>
      <c r="AF102" s="19" t="n">
        <v>0.31572</v>
      </c>
      <c r="AG102" s="19" t="n">
        <v>0.27472</v>
      </c>
      <c r="AH102" s="19" t="n">
        <v>0.32033</v>
      </c>
      <c r="AI102" s="19" t="n">
        <v>0.30814</v>
      </c>
      <c r="AJ102" s="19" t="n">
        <v>0.33661</v>
      </c>
      <c r="AK102" s="19" t="n">
        <v>0.27982</v>
      </c>
      <c r="AL102" s="19" t="n">
        <v>0.28497</v>
      </c>
      <c r="AM102" s="19" t="n">
        <v>0.26646</v>
      </c>
    </row>
    <row r="103">
      <c r="A103" s="3" t="inlineStr">
        <is>
          <t>R20</t>
        </is>
      </c>
      <c r="B103" s="3" t="inlineStr">
        <is>
          <t>환율</t>
        </is>
      </c>
      <c r="C103" s="18" t="inlineStr"/>
      <c r="D103" s="19" t="n">
        <v>15.28601</v>
      </c>
      <c r="E103" s="19" t="n">
        <v>15.91687</v>
      </c>
      <c r="F103" s="19" t="n">
        <v>18.27815</v>
      </c>
      <c r="G103" s="19" t="n">
        <v>15.07574</v>
      </c>
      <c r="H103" s="19" t="n">
        <v>15.3533</v>
      </c>
      <c r="I103" s="19" t="n">
        <v>11.79965</v>
      </c>
      <c r="J103" s="19" t="n">
        <v>13.28421</v>
      </c>
      <c r="K103" s="19" t="n">
        <v>18.13555</v>
      </c>
      <c r="L103" s="19" t="n">
        <v>14.67904</v>
      </c>
      <c r="M103" s="19" t="n">
        <v>13.30653</v>
      </c>
      <c r="N103" s="19" t="n">
        <v>14.6571</v>
      </c>
      <c r="O103" s="19" t="n">
        <v>16.82308</v>
      </c>
      <c r="P103" s="19" t="n">
        <v>12.5935</v>
      </c>
      <c r="Q103" s="19" t="n">
        <v>14.70444</v>
      </c>
      <c r="R103" s="19" t="n">
        <v>18.83235</v>
      </c>
      <c r="S103" s="19" t="n">
        <v>35.09748</v>
      </c>
      <c r="T103" s="19" t="n">
        <v>22.3708</v>
      </c>
      <c r="U103" s="19" t="n">
        <v>17.26456</v>
      </c>
      <c r="V103" s="19" t="n">
        <v>16.5802</v>
      </c>
      <c r="W103" s="19" t="n">
        <v>26.18376</v>
      </c>
      <c r="X103" s="19" t="n">
        <v>23.85831</v>
      </c>
      <c r="Y103" s="19" t="n">
        <v>19.12725</v>
      </c>
      <c r="Z103" s="19" t="n">
        <v>17.36622</v>
      </c>
      <c r="AA103" s="19" t="n">
        <v>15.50432</v>
      </c>
      <c r="AB103" s="19" t="n">
        <v>16.49182</v>
      </c>
      <c r="AC103" s="19" t="n">
        <v>22.646</v>
      </c>
      <c r="AD103" s="19" t="n">
        <v>26.92693</v>
      </c>
      <c r="AE103" s="19" t="n">
        <v>32.52978</v>
      </c>
      <c r="AF103" s="19" t="n">
        <v>33.56051</v>
      </c>
      <c r="AG103" s="19" t="n">
        <v>20.41755</v>
      </c>
      <c r="AH103" s="19" t="n">
        <v>41.53425</v>
      </c>
      <c r="AI103" s="19" t="n">
        <v>26.73546</v>
      </c>
      <c r="AJ103" s="19" t="n">
        <v>21.77606</v>
      </c>
      <c r="AK103" s="19" t="n">
        <v>29.98757</v>
      </c>
      <c r="AL103" s="19" t="n">
        <v>27.22484</v>
      </c>
      <c r="AM103" s="19" t="n">
        <v>24.33564</v>
      </c>
    </row>
    <row r="104">
      <c r="A104" s="3" t="inlineStr">
        <is>
          <t>R20</t>
        </is>
      </c>
      <c r="B104" s="3" t="inlineStr">
        <is>
          <t>로또</t>
        </is>
      </c>
      <c r="C104" s="18" t="inlineStr"/>
      <c r="D104" s="19" t="n">
        <v>8.8972</v>
      </c>
      <c r="E104" s="19" t="n">
        <v>8.749689999999999</v>
      </c>
      <c r="F104" s="19" t="n">
        <v>7.92179</v>
      </c>
      <c r="G104" s="19" t="n">
        <v>9.26177</v>
      </c>
      <c r="H104" s="19" t="n">
        <v>8.882389999999999</v>
      </c>
      <c r="I104" s="19" t="n">
        <v>8.83074</v>
      </c>
      <c r="J104" s="19" t="n">
        <v>10.23863</v>
      </c>
      <c r="K104" s="19" t="n">
        <v>8.621829999999999</v>
      </c>
      <c r="L104" s="19" t="n">
        <v>8.5265</v>
      </c>
      <c r="M104" s="19" t="n">
        <v>9.214449999999999</v>
      </c>
      <c r="N104" s="19" t="n">
        <v>9.742470000000001</v>
      </c>
      <c r="O104" s="19" t="n">
        <v>10.52149</v>
      </c>
      <c r="P104" s="19" t="n">
        <v>9.416550000000001</v>
      </c>
      <c r="Q104" s="19" t="n">
        <v>10.06794</v>
      </c>
      <c r="R104" s="19" t="n">
        <v>18.80724</v>
      </c>
      <c r="S104" s="19" t="n">
        <v>22.67801</v>
      </c>
      <c r="T104" s="19" t="n">
        <v>20.6377</v>
      </c>
      <c r="U104" s="19" t="n">
        <v>19.58662</v>
      </c>
      <c r="V104" s="19" t="n">
        <v>22.95616</v>
      </c>
      <c r="W104" s="19" t="n">
        <v>18.1378</v>
      </c>
      <c r="X104" s="19" t="n">
        <v>19.25821</v>
      </c>
      <c r="Y104" s="19" t="n">
        <v>20.02002</v>
      </c>
      <c r="Z104" s="19" t="n">
        <v>17.95128</v>
      </c>
      <c r="AA104" s="19" t="n">
        <v>20.43339</v>
      </c>
      <c r="AB104" s="19" t="n">
        <v>18.71595</v>
      </c>
      <c r="AC104" s="19" t="n">
        <v>18.7818</v>
      </c>
      <c r="AD104" s="19" t="n">
        <v>22.2791</v>
      </c>
      <c r="AE104" s="19" t="n">
        <v>18.35177</v>
      </c>
      <c r="AF104" s="19" t="n">
        <v>22.13183</v>
      </c>
      <c r="AG104" s="19" t="n">
        <v>21.16759</v>
      </c>
      <c r="AH104" s="19" t="n">
        <v>23.50538</v>
      </c>
      <c r="AI104" s="19" t="n">
        <v>19.06135</v>
      </c>
      <c r="AJ104" s="19" t="n">
        <v>21.85906</v>
      </c>
      <c r="AK104" s="19" t="n">
        <v>19.17129</v>
      </c>
      <c r="AL104" s="19" t="n">
        <v>18.37055</v>
      </c>
      <c r="AM104" s="19" t="n">
        <v>21.41313</v>
      </c>
    </row>
    <row r="106">
      <c r="A106" s="12" t="inlineStr">
        <is>
          <t>데이터랩 API 원응답(정규화 전). 요청마다 최댓값이 100이 되도록 재조정돼 있어 요청이 다르면 서로 비교할 수 없다.</t>
        </is>
      </c>
    </row>
    <row r="107">
      <c r="A107" s="12" t="inlineStr">
        <is>
          <t>각 요청의 앵커 「서울피부과」 36개월 평균으로 나눈 결과가 「월별지수」 시트다.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2026-09-10T04:37:33Z</dcterms:created>
  <dcterms:modified xsi:type="dcterms:W3CDTF">2026-09-10T04:37:34Z</dcterms:modified>
</cp:coreProperties>
</file>